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37b5871923a5b4ed/Documents/Data Analytics/"/>
    </mc:Choice>
  </mc:AlternateContent>
  <xr:revisionPtr revIDLastSave="3" documentId="8_{FEFE2342-AF6F-4C96-9FBC-277AB48B9A09}" xr6:coauthVersionLast="47" xr6:coauthVersionMax="47" xr10:uidLastSave="{FC9DB921-016A-4A72-8231-E4BA4BCC7862}"/>
  <bookViews>
    <workbookView xWindow="-110" yWindow="-110" windowWidth="19420" windowHeight="10300" activeTab="1" xr2:uid="{346724B3-1C49-40AE-AA36-C77CF5D6DD09}"/>
  </bookViews>
  <sheets>
    <sheet name="Pivots" sheetId="5" r:id="rId1"/>
    <sheet name="Dashboard" sheetId="3" r:id="rId2"/>
    <sheet name="Matrix_pivot table" sheetId="8" r:id="rId3"/>
    <sheet name="Data" sheetId="1" r:id="rId4"/>
    <sheet name="Questions &amp; KPIs" sheetId="2" r:id="rId5"/>
    <sheet name="Amt and Qty for map" sheetId="4" r:id="rId6"/>
  </sheets>
  <definedNames>
    <definedName name="_xlchart.v5.0" hidden="1">'Amt and Qty for map'!$P$7:$Q$7</definedName>
    <definedName name="_xlchart.v5.1" hidden="1">'Amt and Qty for map'!$P$8:$Q$65</definedName>
    <definedName name="_xlchart.v5.2" hidden="1">'Amt and Qty for map'!$R$8:$R$65</definedName>
    <definedName name="_xlchart.v5.3" hidden="1">'Amt and Qty for map'!$R$9</definedName>
    <definedName name="_xlchart.v5.4" hidden="1">'Amt and Qty for map'!$L$10:$M$67</definedName>
    <definedName name="_xlchart.v5.5" hidden="1">'Amt and Qty for map'!$L$9:$M$9</definedName>
    <definedName name="_xlchart.v5.6" hidden="1">'Amt and Qty for map'!$N$10:$N$67</definedName>
    <definedName name="_xlchart.v5.7" hidden="1">'Amt and Qty for map'!$N$9</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401" i="1" l="1"/>
  <c r="O2401" i="1" a="1"/>
  <c r="N2401" i="1"/>
  <c r="M2401" i="1"/>
  <c r="O2400" i="1"/>
  <c r="O2400" i="1" a="1"/>
  <c r="N2400" i="1"/>
  <c r="M2400" i="1"/>
  <c r="O2399" i="1"/>
  <c r="O2399" i="1" a="1"/>
  <c r="N2399" i="1"/>
  <c r="M2399" i="1"/>
  <c r="O2398" i="1"/>
  <c r="O2398" i="1" a="1"/>
  <c r="N2398" i="1"/>
  <c r="M2398" i="1"/>
  <c r="O2397" i="1"/>
  <c r="O2397" i="1" a="1"/>
  <c r="N2397" i="1"/>
  <c r="M2397" i="1"/>
  <c r="O2396" i="1"/>
  <c r="O2396" i="1" a="1"/>
  <c r="N2396" i="1"/>
  <c r="M2396" i="1"/>
  <c r="O2395" i="1"/>
  <c r="O2395" i="1" a="1"/>
  <c r="N2395" i="1"/>
  <c r="M2395" i="1"/>
  <c r="O2394" i="1"/>
  <c r="O2394" i="1" a="1"/>
  <c r="N2394" i="1"/>
  <c r="M2394" i="1"/>
  <c r="O2393" i="1"/>
  <c r="O2393" i="1" a="1"/>
  <c r="N2393" i="1"/>
  <c r="M2393" i="1"/>
  <c r="O2392" i="1"/>
  <c r="O2392" i="1" a="1"/>
  <c r="N2392" i="1"/>
  <c r="M2392" i="1"/>
  <c r="O2391" i="1"/>
  <c r="O2391" i="1" a="1"/>
  <c r="N2391" i="1"/>
  <c r="M2391" i="1"/>
  <c r="O2390" i="1"/>
  <c r="O2390" i="1" a="1"/>
  <c r="N2390" i="1"/>
  <c r="M2390" i="1"/>
  <c r="O2389" i="1"/>
  <c r="O2389" i="1" a="1"/>
  <c r="N2389" i="1"/>
  <c r="M2389" i="1"/>
  <c r="O2388" i="1"/>
  <c r="O2388" i="1" a="1"/>
  <c r="N2388" i="1"/>
  <c r="M2388" i="1"/>
  <c r="O2387" i="1"/>
  <c r="O2387" i="1" a="1"/>
  <c r="N2387" i="1"/>
  <c r="M2387" i="1"/>
  <c r="O2386" i="1"/>
  <c r="O2386" i="1" a="1"/>
  <c r="N2386" i="1"/>
  <c r="M2386" i="1"/>
  <c r="O2385" i="1"/>
  <c r="O2385" i="1" a="1"/>
  <c r="N2385" i="1"/>
  <c r="M2385" i="1"/>
  <c r="O2384" i="1"/>
  <c r="O2384" i="1" a="1"/>
  <c r="N2384" i="1"/>
  <c r="M2384" i="1"/>
  <c r="O2383" i="1"/>
  <c r="O2383" i="1" a="1"/>
  <c r="N2383" i="1"/>
  <c r="M2383" i="1"/>
  <c r="O2382" i="1"/>
  <c r="O2382" i="1" a="1"/>
  <c r="N2382" i="1"/>
  <c r="M2382" i="1"/>
  <c r="O2381" i="1"/>
  <c r="O2381" i="1" a="1"/>
  <c r="N2381" i="1"/>
  <c r="M2381" i="1"/>
  <c r="O2380" i="1"/>
  <c r="O2380" i="1" a="1"/>
  <c r="N2380" i="1"/>
  <c r="M2380" i="1"/>
  <c r="O2379" i="1"/>
  <c r="O2379" i="1" a="1"/>
  <c r="N2379" i="1"/>
  <c r="M2379" i="1"/>
  <c r="O2378" i="1"/>
  <c r="O2378" i="1" a="1"/>
  <c r="N2378" i="1"/>
  <c r="M2378" i="1"/>
  <c r="O2377" i="1"/>
  <c r="O2377" i="1" a="1"/>
  <c r="N2377" i="1"/>
  <c r="M2377" i="1"/>
  <c r="O2376" i="1"/>
  <c r="O2376" i="1" a="1"/>
  <c r="N2376" i="1"/>
  <c r="M2376" i="1"/>
  <c r="O2375" i="1"/>
  <c r="O2375" i="1" a="1"/>
  <c r="N2375" i="1"/>
  <c r="M2375" i="1"/>
  <c r="O2374" i="1"/>
  <c r="O2374" i="1" a="1"/>
  <c r="N2374" i="1"/>
  <c r="M2374" i="1"/>
  <c r="O2373" i="1"/>
  <c r="O2373" i="1" a="1"/>
  <c r="N2373" i="1"/>
  <c r="M2373" i="1"/>
  <c r="O2372" i="1"/>
  <c r="O2372" i="1" a="1"/>
  <c r="N2372" i="1"/>
  <c r="M2372" i="1"/>
  <c r="O2371" i="1"/>
  <c r="O2371" i="1" a="1"/>
  <c r="N2371" i="1"/>
  <c r="M2371" i="1"/>
  <c r="O2370" i="1"/>
  <c r="O2370" i="1" a="1"/>
  <c r="N2370" i="1"/>
  <c r="M2370" i="1"/>
  <c r="O2369" i="1"/>
  <c r="O2369" i="1" a="1"/>
  <c r="N2369" i="1"/>
  <c r="M2369" i="1"/>
  <c r="O2368" i="1"/>
  <c r="O2368" i="1" a="1"/>
  <c r="N2368" i="1"/>
  <c r="M2368" i="1"/>
  <c r="O2367" i="1"/>
  <c r="O2367" i="1" a="1"/>
  <c r="N2367" i="1"/>
  <c r="M2367" i="1"/>
  <c r="O2366" i="1"/>
  <c r="O2366" i="1" a="1"/>
  <c r="N2366" i="1"/>
  <c r="M2366" i="1"/>
  <c r="O2365" i="1"/>
  <c r="O2365" i="1" a="1"/>
  <c r="N2365" i="1"/>
  <c r="M2365" i="1"/>
  <c r="O2364" i="1"/>
  <c r="O2364" i="1" a="1"/>
  <c r="N2364" i="1"/>
  <c r="M2364" i="1"/>
  <c r="O2363" i="1"/>
  <c r="O2363" i="1" a="1"/>
  <c r="N2363" i="1"/>
  <c r="M2363" i="1"/>
  <c r="O2362" i="1"/>
  <c r="O2362" i="1" a="1"/>
  <c r="N2362" i="1"/>
  <c r="M2362" i="1"/>
  <c r="O2361" i="1"/>
  <c r="O2361" i="1" a="1"/>
  <c r="N2361" i="1"/>
  <c r="M2361" i="1"/>
  <c r="O2360" i="1"/>
  <c r="O2360" i="1" a="1"/>
  <c r="N2360" i="1"/>
  <c r="M2360" i="1"/>
  <c r="O2359" i="1"/>
  <c r="O2359" i="1" a="1"/>
  <c r="N2359" i="1"/>
  <c r="M2359" i="1"/>
  <c r="O2358" i="1"/>
  <c r="O2358" i="1" a="1"/>
  <c r="N2358" i="1"/>
  <c r="M2358" i="1"/>
  <c r="O2357" i="1"/>
  <c r="O2357" i="1" a="1"/>
  <c r="N2357" i="1"/>
  <c r="M2357" i="1"/>
  <c r="O2356" i="1"/>
  <c r="O2356" i="1" a="1"/>
  <c r="N2356" i="1"/>
  <c r="M2356" i="1"/>
  <c r="O2355" i="1"/>
  <c r="O2355" i="1" a="1"/>
  <c r="N2355" i="1"/>
  <c r="M2355" i="1"/>
  <c r="O2354" i="1"/>
  <c r="O2354" i="1" a="1"/>
  <c r="N2354" i="1"/>
  <c r="M2354" i="1"/>
  <c r="O2353" i="1"/>
  <c r="O2353" i="1" a="1"/>
  <c r="N2353" i="1"/>
  <c r="M2353" i="1"/>
  <c r="O2352" i="1"/>
  <c r="O2352" i="1" a="1"/>
  <c r="N2352" i="1"/>
  <c r="M2352" i="1"/>
  <c r="O2351" i="1"/>
  <c r="O2351" i="1" a="1"/>
  <c r="N2351" i="1"/>
  <c r="M2351" i="1"/>
  <c r="O2350" i="1"/>
  <c r="O2350" i="1" a="1"/>
  <c r="N2350" i="1"/>
  <c r="M2350" i="1"/>
  <c r="O2349" i="1"/>
  <c r="O2349" i="1" a="1"/>
  <c r="N2349" i="1"/>
  <c r="M2349" i="1"/>
  <c r="O2348" i="1"/>
  <c r="O2348" i="1" a="1"/>
  <c r="N2348" i="1"/>
  <c r="M2348" i="1"/>
  <c r="O2347" i="1"/>
  <c r="O2347" i="1" a="1"/>
  <c r="N2347" i="1"/>
  <c r="M2347" i="1"/>
  <c r="O2346" i="1"/>
  <c r="O2346" i="1" a="1"/>
  <c r="N2346" i="1"/>
  <c r="M2346" i="1"/>
  <c r="O2345" i="1"/>
  <c r="O2345" i="1" a="1"/>
  <c r="N2345" i="1"/>
  <c r="M2345" i="1"/>
  <c r="O2344" i="1"/>
  <c r="O2344" i="1" a="1"/>
  <c r="N2344" i="1"/>
  <c r="M2344" i="1"/>
  <c r="O2343" i="1"/>
  <c r="O2343" i="1" a="1"/>
  <c r="N2343" i="1"/>
  <c r="M2343" i="1"/>
  <c r="O2342" i="1"/>
  <c r="O2342" i="1" a="1"/>
  <c r="N2342" i="1"/>
  <c r="M2342" i="1"/>
  <c r="O2341" i="1"/>
  <c r="O2341" i="1" a="1"/>
  <c r="N2341" i="1"/>
  <c r="M2341" i="1"/>
  <c r="O2340" i="1"/>
  <c r="O2340" i="1" a="1"/>
  <c r="N2340" i="1"/>
  <c r="M2340" i="1"/>
  <c r="O2339" i="1"/>
  <c r="O2339" i="1" a="1"/>
  <c r="N2339" i="1"/>
  <c r="M2339" i="1"/>
  <c r="O2338" i="1"/>
  <c r="O2338" i="1" a="1"/>
  <c r="N2338" i="1"/>
  <c r="M2338" i="1"/>
  <c r="O2337" i="1"/>
  <c r="O2337" i="1" a="1"/>
  <c r="N2337" i="1"/>
  <c r="M2337" i="1"/>
  <c r="O2336" i="1"/>
  <c r="O2336" i="1" a="1"/>
  <c r="N2336" i="1"/>
  <c r="M2336" i="1"/>
  <c r="O2335" i="1"/>
  <c r="O2335" i="1" a="1"/>
  <c r="N2335" i="1"/>
  <c r="M2335" i="1"/>
  <c r="O2334" i="1"/>
  <c r="O2334" i="1" a="1"/>
  <c r="N2334" i="1"/>
  <c r="M2334" i="1"/>
  <c r="O2333" i="1"/>
  <c r="O2333" i="1" a="1"/>
  <c r="N2333" i="1"/>
  <c r="M2333" i="1"/>
  <c r="O2332" i="1"/>
  <c r="O2332" i="1" a="1"/>
  <c r="N2332" i="1"/>
  <c r="M2332" i="1"/>
  <c r="O2331" i="1"/>
  <c r="O2331" i="1" a="1"/>
  <c r="N2331" i="1"/>
  <c r="M2331" i="1"/>
  <c r="O2330" i="1"/>
  <c r="O2330" i="1" a="1"/>
  <c r="N2330" i="1"/>
  <c r="M2330" i="1"/>
  <c r="O2329" i="1"/>
  <c r="O2329" i="1" a="1"/>
  <c r="N2329" i="1"/>
  <c r="M2329" i="1"/>
  <c r="O2328" i="1"/>
  <c r="O2328" i="1" a="1"/>
  <c r="N2328" i="1"/>
  <c r="M2328" i="1"/>
  <c r="O2327" i="1"/>
  <c r="O2327" i="1" a="1"/>
  <c r="N2327" i="1"/>
  <c r="M2327" i="1"/>
  <c r="O2326" i="1"/>
  <c r="O2326" i="1" a="1"/>
  <c r="N2326" i="1"/>
  <c r="M2326" i="1"/>
  <c r="O2325" i="1"/>
  <c r="O2325" i="1" a="1"/>
  <c r="N2325" i="1"/>
  <c r="M2325" i="1"/>
  <c r="O2324" i="1"/>
  <c r="O2324" i="1" a="1"/>
  <c r="N2324" i="1"/>
  <c r="M2324" i="1"/>
  <c r="O2323" i="1"/>
  <c r="O2323" i="1" a="1"/>
  <c r="N2323" i="1"/>
  <c r="M2323" i="1"/>
  <c r="O2322" i="1"/>
  <c r="O2322" i="1" a="1"/>
  <c r="N2322" i="1"/>
  <c r="M2322" i="1"/>
  <c r="O2321" i="1"/>
  <c r="O2321" i="1" a="1"/>
  <c r="N2321" i="1"/>
  <c r="M2321" i="1"/>
  <c r="O2320" i="1"/>
  <c r="O2320" i="1" a="1"/>
  <c r="N2320" i="1"/>
  <c r="M2320" i="1"/>
  <c r="O2319" i="1"/>
  <c r="O2319" i="1" a="1"/>
  <c r="N2319" i="1"/>
  <c r="M2319" i="1"/>
  <c r="O2318" i="1"/>
  <c r="O2318" i="1" a="1"/>
  <c r="N2318" i="1"/>
  <c r="M2318" i="1"/>
  <c r="O2317" i="1"/>
  <c r="O2317" i="1" a="1"/>
  <c r="N2317" i="1"/>
  <c r="M2317" i="1"/>
  <c r="O2316" i="1"/>
  <c r="O2316" i="1" a="1"/>
  <c r="N2316" i="1"/>
  <c r="M2316" i="1"/>
  <c r="O2315" i="1"/>
  <c r="O2315" i="1" a="1"/>
  <c r="N2315" i="1"/>
  <c r="M2315" i="1"/>
  <c r="O2314" i="1"/>
  <c r="O2314" i="1" a="1"/>
  <c r="N2314" i="1"/>
  <c r="M2314" i="1"/>
  <c r="O2313" i="1"/>
  <c r="O2313" i="1" a="1"/>
  <c r="N2313" i="1"/>
  <c r="M2313" i="1"/>
  <c r="O2312" i="1"/>
  <c r="O2312" i="1" a="1"/>
  <c r="N2312" i="1"/>
  <c r="M2312" i="1"/>
  <c r="O2311" i="1"/>
  <c r="O2311" i="1" a="1"/>
  <c r="N2311" i="1"/>
  <c r="M2311" i="1"/>
  <c r="O2310" i="1"/>
  <c r="O2310" i="1" a="1"/>
  <c r="N2310" i="1"/>
  <c r="M2310" i="1"/>
  <c r="O2309" i="1"/>
  <c r="O2309" i="1" a="1"/>
  <c r="N2309" i="1"/>
  <c r="M2309" i="1"/>
  <c r="O2308" i="1"/>
  <c r="O2308" i="1" a="1"/>
  <c r="N2308" i="1"/>
  <c r="M2308" i="1"/>
  <c r="O2307" i="1"/>
  <c r="O2307" i="1" a="1"/>
  <c r="N2307" i="1"/>
  <c r="M2307" i="1"/>
  <c r="O2306" i="1"/>
  <c r="O2306" i="1" a="1"/>
  <c r="N2306" i="1"/>
  <c r="M2306" i="1"/>
  <c r="O2305" i="1"/>
  <c r="O2305" i="1" a="1"/>
  <c r="N2305" i="1"/>
  <c r="M2305" i="1"/>
  <c r="O2304" i="1"/>
  <c r="O2304" i="1" a="1"/>
  <c r="N2304" i="1"/>
  <c r="M2304" i="1"/>
  <c r="O2303" i="1"/>
  <c r="O2303" i="1" a="1"/>
  <c r="N2303" i="1"/>
  <c r="M2303" i="1"/>
  <c r="O2302" i="1"/>
  <c r="O2302" i="1" a="1"/>
  <c r="N2302" i="1"/>
  <c r="M2302" i="1"/>
  <c r="O2301" i="1"/>
  <c r="O2301" i="1" a="1"/>
  <c r="N2301" i="1"/>
  <c r="M2301" i="1"/>
  <c r="O2300" i="1"/>
  <c r="O2300" i="1" a="1"/>
  <c r="N2300" i="1"/>
  <c r="M2300" i="1"/>
  <c r="O2299" i="1"/>
  <c r="O2299" i="1" a="1"/>
  <c r="N2299" i="1"/>
  <c r="M2299" i="1"/>
  <c r="O2298" i="1"/>
  <c r="O2298" i="1" a="1"/>
  <c r="N2298" i="1"/>
  <c r="M2298" i="1"/>
  <c r="O2297" i="1"/>
  <c r="O2297" i="1" a="1"/>
  <c r="N2297" i="1"/>
  <c r="M2297" i="1"/>
  <c r="O2296" i="1"/>
  <c r="O2296" i="1" a="1"/>
  <c r="N2296" i="1"/>
  <c r="M2296" i="1"/>
  <c r="O2295" i="1"/>
  <c r="O2295" i="1" a="1"/>
  <c r="N2295" i="1"/>
  <c r="M2295" i="1"/>
  <c r="O2294" i="1"/>
  <c r="O2294" i="1" a="1"/>
  <c r="N2294" i="1"/>
  <c r="M2294" i="1"/>
  <c r="O2293" i="1"/>
  <c r="O2293" i="1" a="1"/>
  <c r="N2293" i="1"/>
  <c r="M2293" i="1"/>
  <c r="O2292" i="1"/>
  <c r="O2292" i="1" a="1"/>
  <c r="N2292" i="1"/>
  <c r="M2292" i="1"/>
  <c r="O2291" i="1"/>
  <c r="O2291" i="1" a="1"/>
  <c r="N2291" i="1"/>
  <c r="M2291" i="1"/>
  <c r="O2290" i="1"/>
  <c r="O2290" i="1" a="1"/>
  <c r="N2290" i="1"/>
  <c r="M2290" i="1"/>
  <c r="O2289" i="1"/>
  <c r="O2289" i="1" a="1"/>
  <c r="N2289" i="1"/>
  <c r="M2289" i="1"/>
  <c r="O2288" i="1"/>
  <c r="O2288" i="1" a="1"/>
  <c r="N2288" i="1"/>
  <c r="M2288" i="1"/>
  <c r="O2287" i="1"/>
  <c r="O2287" i="1" a="1"/>
  <c r="N2287" i="1"/>
  <c r="M2287" i="1"/>
  <c r="O2286" i="1"/>
  <c r="O2286" i="1" a="1"/>
  <c r="N2286" i="1"/>
  <c r="M2286" i="1"/>
  <c r="O2285" i="1"/>
  <c r="O2285" i="1" a="1"/>
  <c r="N2285" i="1"/>
  <c r="M2285" i="1"/>
  <c r="O2284" i="1"/>
  <c r="O2284" i="1" a="1"/>
  <c r="N2284" i="1"/>
  <c r="M2284" i="1"/>
  <c r="O2283" i="1"/>
  <c r="O2283" i="1" a="1"/>
  <c r="N2283" i="1"/>
  <c r="M2283" i="1"/>
  <c r="O2282" i="1"/>
  <c r="O2282" i="1" a="1"/>
  <c r="N2282" i="1"/>
  <c r="M2282" i="1"/>
  <c r="O2281" i="1"/>
  <c r="O2281" i="1" a="1"/>
  <c r="N2281" i="1"/>
  <c r="M2281" i="1"/>
  <c r="O2280" i="1"/>
  <c r="O2280" i="1" a="1"/>
  <c r="N2280" i="1"/>
  <c r="M2280" i="1"/>
  <c r="O2279" i="1"/>
  <c r="O2279" i="1" a="1"/>
  <c r="N2279" i="1"/>
  <c r="M2279" i="1"/>
  <c r="O2278" i="1"/>
  <c r="O2278" i="1" a="1"/>
  <c r="N2278" i="1"/>
  <c r="M2278" i="1"/>
  <c r="O2277" i="1"/>
  <c r="O2277" i="1" a="1"/>
  <c r="N2277" i="1"/>
  <c r="M2277" i="1"/>
  <c r="O2276" i="1"/>
  <c r="O2276" i="1" a="1"/>
  <c r="N2276" i="1"/>
  <c r="M2276" i="1"/>
  <c r="O2275" i="1"/>
  <c r="O2275" i="1" a="1"/>
  <c r="N2275" i="1"/>
  <c r="M2275" i="1"/>
  <c r="O2274" i="1"/>
  <c r="O2274" i="1" a="1"/>
  <c r="N2274" i="1"/>
  <c r="M2274" i="1"/>
  <c r="O2273" i="1"/>
  <c r="O2273" i="1" a="1"/>
  <c r="N2273" i="1"/>
  <c r="M2273" i="1"/>
  <c r="O2272" i="1"/>
  <c r="O2272" i="1" a="1"/>
  <c r="N2272" i="1"/>
  <c r="M2272" i="1"/>
  <c r="O2271" i="1"/>
  <c r="O2271" i="1" a="1"/>
  <c r="N2271" i="1"/>
  <c r="M2271" i="1"/>
  <c r="O2270" i="1"/>
  <c r="O2270" i="1" a="1"/>
  <c r="N2270" i="1"/>
  <c r="M2270" i="1"/>
  <c r="O2269" i="1"/>
  <c r="O2269" i="1" a="1"/>
  <c r="N2269" i="1"/>
  <c r="M2269" i="1"/>
  <c r="O2268" i="1"/>
  <c r="O2268" i="1" a="1"/>
  <c r="N2268" i="1"/>
  <c r="M2268" i="1"/>
  <c r="O2267" i="1"/>
  <c r="O2267" i="1" a="1"/>
  <c r="N2267" i="1"/>
  <c r="M2267" i="1"/>
  <c r="O2266" i="1"/>
  <c r="O2266" i="1" a="1"/>
  <c r="N2266" i="1"/>
  <c r="M2266" i="1"/>
  <c r="O2265" i="1"/>
  <c r="O2265" i="1" a="1"/>
  <c r="N2265" i="1"/>
  <c r="M2265" i="1"/>
  <c r="O2264" i="1"/>
  <c r="O2264" i="1" a="1"/>
  <c r="N2264" i="1"/>
  <c r="M2264" i="1"/>
  <c r="O2263" i="1"/>
  <c r="O2263" i="1" a="1"/>
  <c r="N2263" i="1"/>
  <c r="M2263" i="1"/>
  <c r="O2262" i="1"/>
  <c r="O2262" i="1" a="1"/>
  <c r="N2262" i="1"/>
  <c r="M2262" i="1"/>
  <c r="O2261" i="1"/>
  <c r="O2261" i="1" a="1"/>
  <c r="N2261" i="1"/>
  <c r="M2261" i="1"/>
  <c r="O2260" i="1"/>
  <c r="O2260" i="1" a="1"/>
  <c r="N2260" i="1"/>
  <c r="M2260" i="1"/>
  <c r="O2259" i="1"/>
  <c r="O2259" i="1" a="1"/>
  <c r="N2259" i="1"/>
  <c r="M2259" i="1"/>
  <c r="O2258" i="1"/>
  <c r="O2258" i="1" a="1"/>
  <c r="N2258" i="1"/>
  <c r="M2258" i="1"/>
  <c r="O2257" i="1"/>
  <c r="O2257" i="1" a="1"/>
  <c r="N2257" i="1"/>
  <c r="M2257" i="1"/>
  <c r="O2256" i="1"/>
  <c r="O2256" i="1" a="1"/>
  <c r="N2256" i="1"/>
  <c r="M2256" i="1"/>
  <c r="O2255" i="1"/>
  <c r="O2255" i="1" a="1"/>
  <c r="N2255" i="1"/>
  <c r="M2255" i="1"/>
  <c r="O2254" i="1"/>
  <c r="O2254" i="1" a="1"/>
  <c r="N2254" i="1"/>
  <c r="M2254" i="1"/>
  <c r="O2253" i="1"/>
  <c r="O2253" i="1" a="1"/>
  <c r="N2253" i="1"/>
  <c r="M2253" i="1"/>
  <c r="O2252" i="1"/>
  <c r="O2252" i="1" a="1"/>
  <c r="N2252" i="1"/>
  <c r="M2252" i="1"/>
  <c r="O2251" i="1"/>
  <c r="O2251" i="1" a="1"/>
  <c r="N2251" i="1"/>
  <c r="M2251" i="1"/>
  <c r="O2250" i="1"/>
  <c r="O2250" i="1" a="1"/>
  <c r="N2250" i="1"/>
  <c r="M2250" i="1"/>
  <c r="O2249" i="1"/>
  <c r="O2249" i="1" a="1"/>
  <c r="N2249" i="1"/>
  <c r="M2249" i="1"/>
  <c r="O2248" i="1"/>
  <c r="O2248" i="1" a="1"/>
  <c r="N2248" i="1"/>
  <c r="M2248" i="1"/>
  <c r="O2247" i="1"/>
  <c r="O2247" i="1" a="1"/>
  <c r="N2247" i="1"/>
  <c r="M2247" i="1"/>
  <c r="O2246" i="1"/>
  <c r="O2246" i="1" a="1"/>
  <c r="N2246" i="1"/>
  <c r="M2246" i="1"/>
  <c r="O2245" i="1"/>
  <c r="O2245" i="1" a="1"/>
  <c r="N2245" i="1"/>
  <c r="M2245" i="1"/>
  <c r="O2244" i="1"/>
  <c r="O2244" i="1" a="1"/>
  <c r="N2244" i="1"/>
  <c r="M2244" i="1"/>
  <c r="O2243" i="1"/>
  <c r="O2243" i="1" a="1"/>
  <c r="N2243" i="1"/>
  <c r="M2243" i="1"/>
  <c r="O2242" i="1"/>
  <c r="O2242" i="1" a="1"/>
  <c r="N2242" i="1"/>
  <c r="M2242" i="1"/>
  <c r="O2241" i="1"/>
  <c r="O2241" i="1" a="1"/>
  <c r="N2241" i="1"/>
  <c r="M2241" i="1"/>
  <c r="O2240" i="1"/>
  <c r="O2240" i="1" a="1"/>
  <c r="N2240" i="1"/>
  <c r="M2240" i="1"/>
  <c r="O2239" i="1"/>
  <c r="O2239" i="1" a="1"/>
  <c r="N2239" i="1"/>
  <c r="M2239" i="1"/>
  <c r="O2238" i="1"/>
  <c r="O2238" i="1" a="1"/>
  <c r="N2238" i="1"/>
  <c r="M2238" i="1"/>
  <c r="O2237" i="1"/>
  <c r="O2237" i="1" a="1"/>
  <c r="N2237" i="1"/>
  <c r="M2237" i="1"/>
  <c r="O2236" i="1"/>
  <c r="O2236" i="1" a="1"/>
  <c r="N2236" i="1"/>
  <c r="M2236" i="1"/>
  <c r="O2235" i="1"/>
  <c r="O2235" i="1" a="1"/>
  <c r="N2235" i="1"/>
  <c r="M2235" i="1"/>
  <c r="O2234" i="1"/>
  <c r="O2234" i="1" a="1"/>
  <c r="N2234" i="1"/>
  <c r="M2234" i="1"/>
  <c r="O2233" i="1"/>
  <c r="O2233" i="1" a="1"/>
  <c r="N2233" i="1"/>
  <c r="M2233" i="1"/>
  <c r="O2232" i="1"/>
  <c r="O2232" i="1" a="1"/>
  <c r="N2232" i="1"/>
  <c r="M2232" i="1"/>
  <c r="O2231" i="1"/>
  <c r="O2231" i="1" a="1"/>
  <c r="N2231" i="1"/>
  <c r="M2231" i="1"/>
  <c r="O2230" i="1"/>
  <c r="O2230" i="1" a="1"/>
  <c r="N2230" i="1"/>
  <c r="M2230" i="1"/>
  <c r="O2229" i="1"/>
  <c r="O2229" i="1" a="1"/>
  <c r="N2229" i="1"/>
  <c r="M2229" i="1"/>
  <c r="O2228" i="1"/>
  <c r="O2228" i="1" a="1"/>
  <c r="N2228" i="1"/>
  <c r="M2228" i="1"/>
  <c r="O2227" i="1"/>
  <c r="O2227" i="1" a="1"/>
  <c r="N2227" i="1"/>
  <c r="M2227" i="1"/>
  <c r="O2226" i="1"/>
  <c r="O2226" i="1" a="1"/>
  <c r="N2226" i="1"/>
  <c r="M2226" i="1"/>
  <c r="O2225" i="1"/>
  <c r="O2225" i="1" a="1"/>
  <c r="N2225" i="1"/>
  <c r="M2225" i="1"/>
  <c r="O2224" i="1"/>
  <c r="O2224" i="1" a="1"/>
  <c r="N2224" i="1"/>
  <c r="M2224" i="1"/>
  <c r="O2223" i="1"/>
  <c r="O2223" i="1" a="1"/>
  <c r="N2223" i="1"/>
  <c r="M2223" i="1"/>
  <c r="O2222" i="1"/>
  <c r="O2222" i="1" a="1"/>
  <c r="N2222" i="1"/>
  <c r="M2222" i="1"/>
  <c r="O2221" i="1"/>
  <c r="O2221" i="1" a="1"/>
  <c r="N2221" i="1"/>
  <c r="M2221" i="1"/>
  <c r="O2220" i="1"/>
  <c r="O2220" i="1" a="1"/>
  <c r="N2220" i="1"/>
  <c r="M2220" i="1"/>
  <c r="O2219" i="1"/>
  <c r="O2219" i="1" a="1"/>
  <c r="N2219" i="1"/>
  <c r="M2219" i="1"/>
  <c r="O2218" i="1"/>
  <c r="O2218" i="1" a="1"/>
  <c r="N2218" i="1"/>
  <c r="M2218" i="1"/>
  <c r="O2217" i="1"/>
  <c r="O2217" i="1" a="1"/>
  <c r="N2217" i="1"/>
  <c r="M2217" i="1"/>
  <c r="O2216" i="1"/>
  <c r="O2216" i="1" a="1"/>
  <c r="N2216" i="1"/>
  <c r="M2216" i="1"/>
  <c r="O2215" i="1"/>
  <c r="O2215" i="1" a="1"/>
  <c r="N2215" i="1"/>
  <c r="M2215" i="1"/>
  <c r="O2214" i="1"/>
  <c r="O2214" i="1" a="1"/>
  <c r="N2214" i="1"/>
  <c r="M2214" i="1"/>
  <c r="O2213" i="1"/>
  <c r="O2213" i="1" a="1"/>
  <c r="N2213" i="1"/>
  <c r="M2213" i="1"/>
  <c r="O2212" i="1"/>
  <c r="O2212" i="1" a="1"/>
  <c r="N2212" i="1"/>
  <c r="M2212" i="1"/>
  <c r="O2211" i="1"/>
  <c r="O2211" i="1" a="1"/>
  <c r="N2211" i="1"/>
  <c r="M2211" i="1"/>
  <c r="O2210" i="1"/>
  <c r="O2210" i="1" a="1"/>
  <c r="N2210" i="1"/>
  <c r="M2210" i="1"/>
  <c r="O2209" i="1"/>
  <c r="O2209" i="1" a="1"/>
  <c r="N2209" i="1"/>
  <c r="M2209" i="1"/>
  <c r="O2208" i="1"/>
  <c r="O2208" i="1" a="1"/>
  <c r="N2208" i="1"/>
  <c r="M2208" i="1"/>
  <c r="O2207" i="1"/>
  <c r="O2207" i="1" a="1"/>
  <c r="N2207" i="1"/>
  <c r="M2207" i="1"/>
  <c r="O2206" i="1"/>
  <c r="O2206" i="1" a="1"/>
  <c r="N2206" i="1"/>
  <c r="M2206" i="1"/>
  <c r="O2205" i="1"/>
  <c r="O2205" i="1" a="1"/>
  <c r="N2205" i="1"/>
  <c r="M2205" i="1"/>
  <c r="O2204" i="1"/>
  <c r="O2204" i="1" a="1"/>
  <c r="N2204" i="1"/>
  <c r="M2204" i="1"/>
  <c r="O2203" i="1"/>
  <c r="O2203" i="1" a="1"/>
  <c r="N2203" i="1"/>
  <c r="M2203" i="1"/>
  <c r="O2202" i="1"/>
  <c r="O2202" i="1" a="1"/>
  <c r="N2202" i="1"/>
  <c r="M2202" i="1"/>
  <c r="O2201" i="1"/>
  <c r="O2201" i="1" a="1"/>
  <c r="N2201" i="1"/>
  <c r="M2201" i="1"/>
  <c r="O2200" i="1"/>
  <c r="O2200" i="1" a="1"/>
  <c r="N2200" i="1"/>
  <c r="M2200" i="1"/>
  <c r="O2199" i="1"/>
  <c r="O2199" i="1" a="1"/>
  <c r="N2199" i="1"/>
  <c r="M2199" i="1"/>
  <c r="O2198" i="1"/>
  <c r="O2198" i="1" a="1"/>
  <c r="N2198" i="1"/>
  <c r="M2198" i="1"/>
  <c r="O2197" i="1"/>
  <c r="O2197" i="1" a="1"/>
  <c r="N2197" i="1"/>
  <c r="M2197" i="1"/>
  <c r="O2196" i="1"/>
  <c r="O2196" i="1" a="1"/>
  <c r="N2196" i="1"/>
  <c r="M2196" i="1"/>
  <c r="O2195" i="1"/>
  <c r="O2195" i="1" a="1"/>
  <c r="N2195" i="1"/>
  <c r="M2195" i="1"/>
  <c r="O2194" i="1"/>
  <c r="O2194" i="1" a="1"/>
  <c r="N2194" i="1"/>
  <c r="M2194" i="1"/>
  <c r="O2193" i="1"/>
  <c r="O2193" i="1" a="1"/>
  <c r="N2193" i="1"/>
  <c r="M2193" i="1"/>
  <c r="O2192" i="1"/>
  <c r="O2192" i="1" a="1"/>
  <c r="N2192" i="1"/>
  <c r="M2192" i="1"/>
  <c r="O2191" i="1"/>
  <c r="O2191" i="1" a="1"/>
  <c r="N2191" i="1"/>
  <c r="M2191" i="1"/>
  <c r="O2190" i="1"/>
  <c r="O2190" i="1" a="1"/>
  <c r="N2190" i="1"/>
  <c r="M2190" i="1"/>
  <c r="O2189" i="1"/>
  <c r="O2189" i="1" a="1"/>
  <c r="N2189" i="1"/>
  <c r="M2189" i="1"/>
  <c r="O2188" i="1"/>
  <c r="O2188" i="1" a="1"/>
  <c r="N2188" i="1"/>
  <c r="M2188" i="1"/>
  <c r="O2187" i="1"/>
  <c r="O2187" i="1" a="1"/>
  <c r="N2187" i="1"/>
  <c r="M2187" i="1"/>
  <c r="O2186" i="1"/>
  <c r="O2186" i="1" a="1"/>
  <c r="N2186" i="1"/>
  <c r="M2186" i="1"/>
  <c r="O2185" i="1"/>
  <c r="O2185" i="1" a="1"/>
  <c r="N2185" i="1"/>
  <c r="M2185" i="1"/>
  <c r="O2184" i="1"/>
  <c r="O2184" i="1" a="1"/>
  <c r="N2184" i="1"/>
  <c r="M2184" i="1"/>
  <c r="O2183" i="1"/>
  <c r="O2183" i="1" a="1"/>
  <c r="N2183" i="1"/>
  <c r="M2183" i="1"/>
  <c r="O2182" i="1"/>
  <c r="O2182" i="1" a="1"/>
  <c r="N2182" i="1"/>
  <c r="M2182" i="1"/>
  <c r="O2181" i="1"/>
  <c r="O2181" i="1" a="1"/>
  <c r="N2181" i="1"/>
  <c r="M2181" i="1"/>
  <c r="O2180" i="1"/>
  <c r="O2180" i="1" a="1"/>
  <c r="N2180" i="1"/>
  <c r="M2180" i="1"/>
  <c r="O2179" i="1"/>
  <c r="O2179" i="1" a="1"/>
  <c r="N2179" i="1"/>
  <c r="M2179" i="1"/>
  <c r="O2178" i="1"/>
  <c r="O2178" i="1" a="1"/>
  <c r="N2178" i="1"/>
  <c r="M2178" i="1"/>
  <c r="O2177" i="1"/>
  <c r="O2177" i="1" a="1"/>
  <c r="N2177" i="1"/>
  <c r="M2177" i="1"/>
  <c r="O2176" i="1"/>
  <c r="O2176" i="1" a="1"/>
  <c r="N2176" i="1"/>
  <c r="M2176" i="1"/>
  <c r="O2175" i="1"/>
  <c r="O2175" i="1" a="1"/>
  <c r="N2175" i="1"/>
  <c r="M2175" i="1"/>
  <c r="O2174" i="1"/>
  <c r="O2174" i="1" a="1"/>
  <c r="N2174" i="1"/>
  <c r="M2174" i="1"/>
  <c r="O2173" i="1"/>
  <c r="O2173" i="1" a="1"/>
  <c r="N2173" i="1"/>
  <c r="M2173" i="1"/>
  <c r="O2172" i="1"/>
  <c r="O2172" i="1" a="1"/>
  <c r="N2172" i="1"/>
  <c r="M2172" i="1"/>
  <c r="O2171" i="1"/>
  <c r="O2171" i="1" a="1"/>
  <c r="N2171" i="1"/>
  <c r="M2171" i="1"/>
  <c r="O2170" i="1"/>
  <c r="O2170" i="1" a="1"/>
  <c r="N2170" i="1"/>
  <c r="M2170" i="1"/>
  <c r="O2169" i="1"/>
  <c r="O2169" i="1" a="1"/>
  <c r="N2169" i="1"/>
  <c r="M2169" i="1"/>
  <c r="O2168" i="1"/>
  <c r="O2168" i="1" a="1"/>
  <c r="N2168" i="1"/>
  <c r="M2168" i="1"/>
  <c r="O2167" i="1"/>
  <c r="O2167" i="1" a="1"/>
  <c r="N2167" i="1"/>
  <c r="M2167" i="1"/>
  <c r="O2166" i="1"/>
  <c r="O2166" i="1" a="1"/>
  <c r="N2166" i="1"/>
  <c r="M2166" i="1"/>
  <c r="O2165" i="1"/>
  <c r="O2165" i="1" a="1"/>
  <c r="N2165" i="1"/>
  <c r="M2165" i="1"/>
  <c r="O2164" i="1"/>
  <c r="O2164" i="1" a="1"/>
  <c r="N2164" i="1"/>
  <c r="M2164" i="1"/>
  <c r="O2163" i="1"/>
  <c r="O2163" i="1" a="1"/>
  <c r="N2163" i="1"/>
  <c r="M2163" i="1"/>
  <c r="O2162" i="1"/>
  <c r="O2162" i="1" a="1"/>
  <c r="N2162" i="1"/>
  <c r="M2162" i="1"/>
  <c r="O2161" i="1"/>
  <c r="O2161" i="1" a="1"/>
  <c r="N2161" i="1"/>
  <c r="M2161" i="1"/>
  <c r="O2160" i="1"/>
  <c r="O2160" i="1" a="1"/>
  <c r="N2160" i="1"/>
  <c r="M2160" i="1"/>
  <c r="O2159" i="1"/>
  <c r="O2159" i="1" a="1"/>
  <c r="N2159" i="1"/>
  <c r="M2159" i="1"/>
  <c r="O2158" i="1"/>
  <c r="O2158" i="1" a="1"/>
  <c r="N2158" i="1"/>
  <c r="M2158" i="1"/>
  <c r="O2157" i="1"/>
  <c r="O2157" i="1" a="1"/>
  <c r="N2157" i="1"/>
  <c r="M2157" i="1"/>
  <c r="O2156" i="1"/>
  <c r="O2156" i="1" a="1"/>
  <c r="N2156" i="1"/>
  <c r="M2156" i="1"/>
  <c r="O2155" i="1"/>
  <c r="O2155" i="1" a="1"/>
  <c r="N2155" i="1"/>
  <c r="M2155" i="1"/>
  <c r="O2154" i="1"/>
  <c r="O2154" i="1" a="1"/>
  <c r="N2154" i="1"/>
  <c r="M2154" i="1"/>
  <c r="O2153" i="1"/>
  <c r="O2153" i="1" a="1"/>
  <c r="N2153" i="1"/>
  <c r="M2153" i="1"/>
  <c r="O2152" i="1"/>
  <c r="O2152" i="1" a="1"/>
  <c r="N2152" i="1"/>
  <c r="M2152" i="1"/>
  <c r="O2151" i="1"/>
  <c r="O2151" i="1" a="1"/>
  <c r="N2151" i="1"/>
  <c r="M2151" i="1"/>
  <c r="O2150" i="1"/>
  <c r="O2150" i="1" a="1"/>
  <c r="N2150" i="1"/>
  <c r="M2150" i="1"/>
  <c r="O2149" i="1"/>
  <c r="O2149" i="1" a="1"/>
  <c r="N2149" i="1"/>
  <c r="M2149" i="1"/>
  <c r="O2148" i="1"/>
  <c r="O2148" i="1" a="1"/>
  <c r="N2148" i="1"/>
  <c r="M2148" i="1"/>
  <c r="O2147" i="1"/>
  <c r="O2147" i="1" a="1"/>
  <c r="N2147" i="1"/>
  <c r="M2147" i="1"/>
  <c r="O2146" i="1"/>
  <c r="O2146" i="1" a="1"/>
  <c r="N2146" i="1"/>
  <c r="M2146" i="1"/>
  <c r="O2145" i="1"/>
  <c r="O2145" i="1" a="1"/>
  <c r="N2145" i="1"/>
  <c r="M2145" i="1"/>
  <c r="O2144" i="1"/>
  <c r="O2144" i="1" a="1"/>
  <c r="N2144" i="1"/>
  <c r="M2144" i="1"/>
  <c r="O2143" i="1"/>
  <c r="O2143" i="1" a="1"/>
  <c r="N2143" i="1"/>
  <c r="M2143" i="1"/>
  <c r="O2142" i="1"/>
  <c r="O2142" i="1" a="1"/>
  <c r="N2142" i="1"/>
  <c r="M2142" i="1"/>
  <c r="O2141" i="1"/>
  <c r="O2141" i="1" a="1"/>
  <c r="N2141" i="1"/>
  <c r="M2141" i="1"/>
  <c r="O2140" i="1"/>
  <c r="O2140" i="1" a="1"/>
  <c r="N2140" i="1"/>
  <c r="M2140" i="1"/>
  <c r="O2139" i="1"/>
  <c r="O2139" i="1" a="1"/>
  <c r="N2139" i="1"/>
  <c r="M2139" i="1"/>
  <c r="O2138" i="1"/>
  <c r="O2138" i="1" a="1"/>
  <c r="N2138" i="1"/>
  <c r="M2138" i="1"/>
  <c r="O2137" i="1"/>
  <c r="O2137" i="1" a="1"/>
  <c r="N2137" i="1"/>
  <c r="M2137" i="1"/>
  <c r="O2136" i="1"/>
  <c r="O2136" i="1" a="1"/>
  <c r="N2136" i="1"/>
  <c r="M2136" i="1"/>
  <c r="O2135" i="1"/>
  <c r="O2135" i="1" a="1"/>
  <c r="N2135" i="1"/>
  <c r="M2135" i="1"/>
  <c r="O2134" i="1"/>
  <c r="O2134" i="1" a="1"/>
  <c r="N2134" i="1"/>
  <c r="M2134" i="1"/>
  <c r="O2133" i="1"/>
  <c r="O2133" i="1" a="1"/>
  <c r="N2133" i="1"/>
  <c r="M2133" i="1"/>
  <c r="O2132" i="1"/>
  <c r="O2132" i="1" a="1"/>
  <c r="N2132" i="1"/>
  <c r="M2132" i="1"/>
  <c r="O2131" i="1"/>
  <c r="O2131" i="1" a="1"/>
  <c r="N2131" i="1"/>
  <c r="M2131" i="1"/>
  <c r="O2130" i="1"/>
  <c r="O2130" i="1" a="1"/>
  <c r="N2130" i="1"/>
  <c r="M2130" i="1"/>
  <c r="O2129" i="1"/>
  <c r="O2129" i="1" a="1"/>
  <c r="N2129" i="1"/>
  <c r="M2129" i="1"/>
  <c r="O2128" i="1"/>
  <c r="O2128" i="1" a="1"/>
  <c r="N2128" i="1"/>
  <c r="M2128" i="1"/>
  <c r="O2127" i="1"/>
  <c r="O2127" i="1" a="1"/>
  <c r="N2127" i="1"/>
  <c r="M2127" i="1"/>
  <c r="O2126" i="1"/>
  <c r="O2126" i="1" a="1"/>
  <c r="N2126" i="1"/>
  <c r="M2126" i="1"/>
  <c r="O2125" i="1"/>
  <c r="O2125" i="1" a="1"/>
  <c r="N2125" i="1"/>
  <c r="M2125" i="1"/>
  <c r="O2124" i="1"/>
  <c r="O2124" i="1" a="1"/>
  <c r="N2124" i="1"/>
  <c r="M2124" i="1"/>
  <c r="O2123" i="1"/>
  <c r="O2123" i="1" a="1"/>
  <c r="N2123" i="1"/>
  <c r="M2123" i="1"/>
  <c r="O2122" i="1"/>
  <c r="O2122" i="1" a="1"/>
  <c r="N2122" i="1"/>
  <c r="M2122" i="1"/>
  <c r="O2121" i="1"/>
  <c r="O2121" i="1" a="1"/>
  <c r="N2121" i="1"/>
  <c r="M2121" i="1"/>
  <c r="O2120" i="1"/>
  <c r="O2120" i="1" a="1"/>
  <c r="N2120" i="1"/>
  <c r="M2120" i="1"/>
  <c r="O2119" i="1"/>
  <c r="O2119" i="1" a="1"/>
  <c r="N2119" i="1"/>
  <c r="M2119" i="1"/>
  <c r="O2118" i="1"/>
  <c r="O2118" i="1" a="1"/>
  <c r="N2118" i="1"/>
  <c r="M2118" i="1"/>
  <c r="O2117" i="1"/>
  <c r="O2117" i="1" a="1"/>
  <c r="N2117" i="1"/>
  <c r="M2117" i="1"/>
  <c r="O2116" i="1"/>
  <c r="O2116" i="1" a="1"/>
  <c r="N2116" i="1"/>
  <c r="M2116" i="1"/>
  <c r="O2115" i="1"/>
  <c r="O2115" i="1" a="1"/>
  <c r="N2115" i="1"/>
  <c r="M2115" i="1"/>
  <c r="O2114" i="1"/>
  <c r="O2114" i="1" a="1"/>
  <c r="N2114" i="1"/>
  <c r="M2114" i="1"/>
  <c r="O2113" i="1"/>
  <c r="O2113" i="1" a="1"/>
  <c r="N2113" i="1"/>
  <c r="M2113" i="1"/>
  <c r="O2112" i="1"/>
  <c r="O2112" i="1" a="1"/>
  <c r="N2112" i="1"/>
  <c r="M2112" i="1"/>
  <c r="O2111" i="1"/>
  <c r="O2111" i="1" a="1"/>
  <c r="N2111" i="1"/>
  <c r="M2111" i="1"/>
  <c r="O2110" i="1"/>
  <c r="O2110" i="1" a="1"/>
  <c r="N2110" i="1"/>
  <c r="M2110" i="1"/>
  <c r="O2109" i="1"/>
  <c r="O2109" i="1" a="1"/>
  <c r="N2109" i="1"/>
  <c r="M2109" i="1"/>
  <c r="O2108" i="1"/>
  <c r="O2108" i="1" a="1"/>
  <c r="N2108" i="1"/>
  <c r="M2108" i="1"/>
  <c r="O2107" i="1"/>
  <c r="O2107" i="1" a="1"/>
  <c r="N2107" i="1"/>
  <c r="M2107" i="1"/>
  <c r="O2106" i="1"/>
  <c r="O2106" i="1" a="1"/>
  <c r="N2106" i="1"/>
  <c r="M2106" i="1"/>
  <c r="O2105" i="1"/>
  <c r="O2105" i="1" a="1"/>
  <c r="N2105" i="1"/>
  <c r="M2105" i="1"/>
  <c r="O2104" i="1"/>
  <c r="O2104" i="1" a="1"/>
  <c r="N2104" i="1"/>
  <c r="M2104" i="1"/>
  <c r="O2103" i="1"/>
  <c r="O2103" i="1" a="1"/>
  <c r="N2103" i="1"/>
  <c r="M2103" i="1"/>
  <c r="O2102" i="1"/>
  <c r="O2102" i="1" a="1"/>
  <c r="N2102" i="1"/>
  <c r="M2102" i="1"/>
  <c r="O2101" i="1"/>
  <c r="O2101" i="1" a="1"/>
  <c r="N2101" i="1"/>
  <c r="M2101" i="1"/>
  <c r="O2100" i="1"/>
  <c r="O2100" i="1" a="1"/>
  <c r="N2100" i="1"/>
  <c r="M2100" i="1"/>
  <c r="O2099" i="1"/>
  <c r="O2099" i="1" a="1"/>
  <c r="N2099" i="1"/>
  <c r="M2099" i="1"/>
  <c r="O2098" i="1"/>
  <c r="O2098" i="1" a="1"/>
  <c r="N2098" i="1"/>
  <c r="M2098" i="1"/>
  <c r="O2097" i="1"/>
  <c r="O2097" i="1" a="1"/>
  <c r="N2097" i="1"/>
  <c r="M2097" i="1"/>
  <c r="O2096" i="1"/>
  <c r="O2096" i="1" a="1"/>
  <c r="N2096" i="1"/>
  <c r="M2096" i="1"/>
  <c r="O2095" i="1"/>
  <c r="O2095" i="1" a="1"/>
  <c r="N2095" i="1"/>
  <c r="M2095" i="1"/>
  <c r="O2094" i="1"/>
  <c r="O2094" i="1" a="1"/>
  <c r="N2094" i="1"/>
  <c r="M2094" i="1"/>
  <c r="O2093" i="1"/>
  <c r="O2093" i="1" a="1"/>
  <c r="N2093" i="1"/>
  <c r="M2093" i="1"/>
  <c r="O2092" i="1"/>
  <c r="O2092" i="1" a="1"/>
  <c r="N2092" i="1"/>
  <c r="M2092" i="1"/>
  <c r="O2091" i="1"/>
  <c r="O2091" i="1" a="1"/>
  <c r="N2091" i="1"/>
  <c r="M2091" i="1"/>
  <c r="O2090" i="1"/>
  <c r="O2090" i="1" a="1"/>
  <c r="N2090" i="1"/>
  <c r="M2090" i="1"/>
  <c r="O2089" i="1"/>
  <c r="O2089" i="1" a="1"/>
  <c r="N2089" i="1"/>
  <c r="M2089" i="1"/>
  <c r="O2088" i="1"/>
  <c r="O2088" i="1" a="1"/>
  <c r="N2088" i="1"/>
  <c r="M2088" i="1"/>
  <c r="O2087" i="1"/>
  <c r="O2087" i="1" a="1"/>
  <c r="N2087" i="1"/>
  <c r="M2087" i="1"/>
  <c r="O2086" i="1"/>
  <c r="O2086" i="1" a="1"/>
  <c r="N2086" i="1"/>
  <c r="M2086" i="1"/>
  <c r="O2085" i="1"/>
  <c r="O2085" i="1" a="1"/>
  <c r="N2085" i="1"/>
  <c r="M2085" i="1"/>
  <c r="O2084" i="1"/>
  <c r="O2084" i="1" a="1"/>
  <c r="N2084" i="1"/>
  <c r="M2084" i="1"/>
  <c r="O2083" i="1"/>
  <c r="O2083" i="1" a="1"/>
  <c r="N2083" i="1"/>
  <c r="M2083" i="1"/>
  <c r="O2082" i="1"/>
  <c r="O2082" i="1" a="1"/>
  <c r="N2082" i="1"/>
  <c r="M2082" i="1"/>
  <c r="O2081" i="1"/>
  <c r="O2081" i="1" a="1"/>
  <c r="N2081" i="1"/>
  <c r="M2081" i="1"/>
  <c r="O2080" i="1"/>
  <c r="O2080" i="1" a="1"/>
  <c r="N2080" i="1"/>
  <c r="M2080" i="1"/>
  <c r="O2079" i="1"/>
  <c r="O2079" i="1" a="1"/>
  <c r="N2079" i="1"/>
  <c r="M2079" i="1"/>
  <c r="O2078" i="1"/>
  <c r="O2078" i="1" a="1"/>
  <c r="N2078" i="1"/>
  <c r="M2078" i="1"/>
  <c r="O2077" i="1"/>
  <c r="O2077" i="1" a="1"/>
  <c r="N2077" i="1"/>
  <c r="M2077" i="1"/>
  <c r="O2076" i="1"/>
  <c r="O2076" i="1" a="1"/>
  <c r="N2076" i="1"/>
  <c r="M2076" i="1"/>
  <c r="O2075" i="1"/>
  <c r="O2075" i="1" a="1"/>
  <c r="N2075" i="1"/>
  <c r="M2075" i="1"/>
  <c r="O2074" i="1"/>
  <c r="O2074" i="1" a="1"/>
  <c r="N2074" i="1"/>
  <c r="M2074" i="1"/>
  <c r="O2073" i="1"/>
  <c r="O2073" i="1" a="1"/>
  <c r="N2073" i="1"/>
  <c r="M2073" i="1"/>
  <c r="O2072" i="1"/>
  <c r="O2072" i="1" a="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c r="O2065" i="1" a="1"/>
  <c r="N2065" i="1"/>
  <c r="M2065" i="1"/>
  <c r="O2064" i="1"/>
  <c r="O2064" i="1" a="1"/>
  <c r="N2064" i="1"/>
  <c r="M2064" i="1"/>
  <c r="O2063" i="1"/>
  <c r="O2063" i="1" a="1"/>
  <c r="N2063" i="1"/>
  <c r="M2063" i="1"/>
  <c r="O2062" i="1"/>
  <c r="O2062" i="1" a="1"/>
  <c r="N2062" i="1"/>
  <c r="M2062" i="1"/>
  <c r="O2061" i="1"/>
  <c r="O2061" i="1" a="1"/>
  <c r="N2061" i="1"/>
  <c r="M2061" i="1"/>
  <c r="O2060" i="1"/>
  <c r="O2060" i="1" a="1"/>
  <c r="N2060" i="1"/>
  <c r="M2060" i="1"/>
  <c r="O2059" i="1"/>
  <c r="O2059" i="1" a="1"/>
  <c r="N2059" i="1"/>
  <c r="M2059" i="1"/>
  <c r="O2058" i="1"/>
  <c r="O2058" i="1" a="1"/>
  <c r="N2058" i="1"/>
  <c r="M2058" i="1"/>
  <c r="O2057" i="1"/>
  <c r="O2057" i="1" a="1"/>
  <c r="N2057" i="1"/>
  <c r="M2057" i="1"/>
  <c r="O2056" i="1"/>
  <c r="O2056" i="1" a="1"/>
  <c r="N2056" i="1"/>
  <c r="M2056" i="1"/>
  <c r="O2055" i="1"/>
  <c r="O2055" i="1" a="1"/>
  <c r="N2055" i="1"/>
  <c r="M2055" i="1"/>
  <c r="O2054" i="1"/>
  <c r="O2054" i="1" a="1"/>
  <c r="N2054" i="1"/>
  <c r="M2054" i="1"/>
  <c r="O2053" i="1"/>
  <c r="O2053" i="1" a="1"/>
  <c r="N2053" i="1"/>
  <c r="M2053" i="1"/>
  <c r="O2052" i="1"/>
  <c r="O2052" i="1" a="1"/>
  <c r="N2052" i="1"/>
  <c r="M2052" i="1"/>
  <c r="O2051" i="1"/>
  <c r="O2051" i="1" a="1"/>
  <c r="N2051" i="1"/>
  <c r="M2051" i="1"/>
  <c r="O2050" i="1"/>
  <c r="O2050" i="1" a="1"/>
  <c r="N2050" i="1"/>
  <c r="M2050" i="1"/>
  <c r="O2049" i="1"/>
  <c r="O2049" i="1" a="1"/>
  <c r="N2049" i="1"/>
  <c r="M2049" i="1"/>
  <c r="O2048" i="1"/>
  <c r="O2048" i="1" a="1"/>
  <c r="N2048" i="1"/>
  <c r="M2048" i="1"/>
  <c r="O2047" i="1"/>
  <c r="O2047" i="1" a="1"/>
  <c r="N2047" i="1"/>
  <c r="M2047" i="1"/>
  <c r="O2046" i="1"/>
  <c r="O2046" i="1" a="1"/>
  <c r="N2046" i="1"/>
  <c r="M2046" i="1"/>
  <c r="O2045" i="1"/>
  <c r="O2045" i="1" a="1"/>
  <c r="N2045" i="1"/>
  <c r="M2045" i="1"/>
  <c r="O2044" i="1"/>
  <c r="O2044" i="1" a="1"/>
  <c r="N2044" i="1"/>
  <c r="M2044" i="1"/>
  <c r="O2043" i="1"/>
  <c r="O2043" i="1" a="1"/>
  <c r="N2043" i="1"/>
  <c r="M2043" i="1"/>
  <c r="O2042" i="1"/>
  <c r="O2042" i="1" a="1"/>
  <c r="N2042" i="1"/>
  <c r="M2042" i="1"/>
  <c r="O2041" i="1"/>
  <c r="O2041" i="1" a="1"/>
  <c r="N2041" i="1"/>
  <c r="M2041" i="1"/>
  <c r="O2040" i="1"/>
  <c r="O2040" i="1" a="1"/>
  <c r="N2040" i="1"/>
  <c r="M2040" i="1"/>
  <c r="O2039" i="1"/>
  <c r="O2039" i="1" a="1"/>
  <c r="N2039" i="1"/>
  <c r="M2039" i="1"/>
  <c r="O2038" i="1"/>
  <c r="O2038" i="1" a="1"/>
  <c r="N2038" i="1"/>
  <c r="M2038" i="1"/>
  <c r="O2037" i="1"/>
  <c r="O2037" i="1" a="1"/>
  <c r="N2037" i="1"/>
  <c r="M2037" i="1"/>
  <c r="O2036" i="1"/>
  <c r="O2036" i="1" a="1"/>
  <c r="N2036" i="1"/>
  <c r="M2036" i="1"/>
  <c r="O2035" i="1"/>
  <c r="O2035" i="1" a="1"/>
  <c r="N2035" i="1"/>
  <c r="M2035" i="1"/>
  <c r="O2034" i="1"/>
  <c r="O2034" i="1" a="1"/>
  <c r="N2034" i="1"/>
  <c r="M2034" i="1"/>
  <c r="O2033" i="1"/>
  <c r="O2033" i="1" a="1"/>
  <c r="N2033" i="1"/>
  <c r="M2033" i="1"/>
  <c r="O2032" i="1"/>
  <c r="O2032" i="1" a="1"/>
  <c r="N2032" i="1"/>
  <c r="M2032" i="1"/>
  <c r="O2031" i="1"/>
  <c r="O2031" i="1" a="1"/>
  <c r="N2031" i="1"/>
  <c r="M2031" i="1"/>
  <c r="O2030" i="1"/>
  <c r="O2030" i="1" a="1"/>
  <c r="N2030" i="1"/>
  <c r="M2030" i="1"/>
  <c r="O2029" i="1"/>
  <c r="O2029" i="1" a="1"/>
  <c r="N2029" i="1"/>
  <c r="M2029" i="1"/>
  <c r="O2028" i="1"/>
  <c r="O2028" i="1" a="1"/>
  <c r="N2028" i="1"/>
  <c r="M2028" i="1"/>
  <c r="O2027" i="1"/>
  <c r="O2027" i="1" a="1"/>
  <c r="N2027" i="1"/>
  <c r="M2027" i="1"/>
  <c r="O2026" i="1"/>
  <c r="O2026" i="1" a="1"/>
  <c r="N2026" i="1"/>
  <c r="M2026" i="1"/>
  <c r="O2025" i="1"/>
  <c r="O2025" i="1" a="1"/>
  <c r="N2025" i="1"/>
  <c r="M2025" i="1"/>
  <c r="O2024" i="1"/>
  <c r="O2024" i="1" a="1"/>
  <c r="N2024" i="1"/>
  <c r="M2024" i="1"/>
  <c r="O2023" i="1"/>
  <c r="O2023" i="1" a="1"/>
  <c r="N2023" i="1"/>
  <c r="M2023" i="1"/>
  <c r="O2022" i="1"/>
  <c r="O2022" i="1" a="1"/>
  <c r="N2022" i="1"/>
  <c r="M2022" i="1"/>
  <c r="O2021" i="1"/>
  <c r="O2021" i="1" a="1"/>
  <c r="N2021" i="1"/>
  <c r="M2021" i="1"/>
  <c r="O2020" i="1"/>
  <c r="O2020" i="1" a="1"/>
  <c r="N2020" i="1"/>
  <c r="M2020" i="1"/>
  <c r="O2019" i="1"/>
  <c r="O2019" i="1" a="1"/>
  <c r="N2019" i="1"/>
  <c r="M2019" i="1"/>
  <c r="O2018" i="1"/>
  <c r="O2018" i="1" a="1"/>
  <c r="N2018" i="1"/>
  <c r="M2018" i="1"/>
  <c r="O2017" i="1"/>
  <c r="O2017" i="1" a="1"/>
  <c r="N2017" i="1"/>
  <c r="M2017" i="1"/>
  <c r="O2016" i="1"/>
  <c r="O2016" i="1" a="1"/>
  <c r="N2016" i="1"/>
  <c r="M2016" i="1"/>
  <c r="O2015" i="1"/>
  <c r="O2015" i="1" a="1"/>
  <c r="N2015" i="1"/>
  <c r="M2015" i="1"/>
  <c r="O2014" i="1"/>
  <c r="O2014" i="1" a="1"/>
  <c r="N2014" i="1"/>
  <c r="M2014" i="1"/>
  <c r="O2013" i="1"/>
  <c r="O2013" i="1" a="1"/>
  <c r="N2013" i="1"/>
  <c r="M2013" i="1"/>
  <c r="O2012" i="1"/>
  <c r="O2012" i="1" a="1"/>
  <c r="N2012" i="1"/>
  <c r="M2012" i="1"/>
  <c r="O2011" i="1"/>
  <c r="O2011" i="1" a="1"/>
  <c r="N2011" i="1"/>
  <c r="M2011" i="1"/>
  <c r="O2010" i="1"/>
  <c r="O2010" i="1" a="1"/>
  <c r="N2010" i="1"/>
  <c r="M2010" i="1"/>
  <c r="O2009" i="1"/>
  <c r="O2009" i="1" a="1"/>
  <c r="N2009" i="1"/>
  <c r="M2009" i="1"/>
  <c r="O2008" i="1"/>
  <c r="O2008" i="1" a="1"/>
  <c r="N2008" i="1"/>
  <c r="M2008" i="1"/>
  <c r="O2007" i="1"/>
  <c r="O2007" i="1" a="1"/>
  <c r="N2007" i="1"/>
  <c r="M2007" i="1"/>
  <c r="O2006" i="1"/>
  <c r="O2006" i="1" a="1"/>
  <c r="N2006" i="1"/>
  <c r="M2006" i="1"/>
  <c r="O2005" i="1"/>
  <c r="O2005" i="1" a="1"/>
  <c r="N2005" i="1"/>
  <c r="M2005" i="1"/>
  <c r="O2004" i="1"/>
  <c r="O2004" i="1" a="1"/>
  <c r="N2004" i="1"/>
  <c r="M2004" i="1"/>
  <c r="O2003" i="1"/>
  <c r="O2003" i="1" a="1"/>
  <c r="N2003" i="1"/>
  <c r="M2003" i="1"/>
  <c r="O2002" i="1"/>
  <c r="O2002" i="1" a="1"/>
  <c r="N2002" i="1"/>
  <c r="M2002" i="1"/>
  <c r="O2001" i="1"/>
  <c r="O2001" i="1" a="1"/>
  <c r="N2001" i="1"/>
  <c r="M2001" i="1"/>
  <c r="O2000" i="1"/>
  <c r="O2000" i="1" a="1"/>
  <c r="N2000" i="1"/>
  <c r="M2000" i="1"/>
  <c r="O1999" i="1"/>
  <c r="O1999" i="1" a="1"/>
  <c r="N1999" i="1"/>
  <c r="M1999" i="1"/>
  <c r="O1998" i="1"/>
  <c r="O1998" i="1" a="1"/>
  <c r="N1998" i="1"/>
  <c r="M1998" i="1"/>
  <c r="O1997" i="1"/>
  <c r="O1997" i="1" a="1"/>
  <c r="N1997" i="1"/>
  <c r="M1997" i="1"/>
  <c r="O1996" i="1"/>
  <c r="O1996" i="1" a="1"/>
  <c r="N1996" i="1"/>
  <c r="M1996" i="1"/>
  <c r="O1995" i="1"/>
  <c r="O1995" i="1" a="1"/>
  <c r="N1995" i="1"/>
  <c r="M1995" i="1"/>
  <c r="O1994" i="1"/>
  <c r="O1994" i="1" a="1"/>
  <c r="N1994" i="1"/>
  <c r="M1994" i="1"/>
  <c r="O1993" i="1"/>
  <c r="O1993" i="1" a="1"/>
  <c r="N1993" i="1"/>
  <c r="M1993" i="1"/>
  <c r="O1992" i="1"/>
  <c r="O1992" i="1" a="1"/>
  <c r="N1992" i="1"/>
  <c r="M1992" i="1"/>
  <c r="O1991" i="1"/>
  <c r="O1991" i="1" a="1"/>
  <c r="N1991" i="1"/>
  <c r="M1991" i="1"/>
  <c r="O1990" i="1"/>
  <c r="O1990" i="1" a="1"/>
  <c r="N1990" i="1"/>
  <c r="M1990" i="1"/>
  <c r="O1989" i="1"/>
  <c r="O1989" i="1" a="1"/>
  <c r="N1989" i="1"/>
  <c r="M1989" i="1"/>
  <c r="O1988" i="1"/>
  <c r="O1988" i="1" a="1"/>
  <c r="N1988" i="1"/>
  <c r="M1988" i="1"/>
  <c r="O1987" i="1"/>
  <c r="O1987" i="1" a="1"/>
  <c r="N1987" i="1"/>
  <c r="M1987" i="1"/>
  <c r="O1986" i="1"/>
  <c r="O1986" i="1" a="1"/>
  <c r="N1986" i="1"/>
  <c r="M1986" i="1"/>
  <c r="O1985" i="1"/>
  <c r="O1985" i="1" a="1"/>
  <c r="N1985" i="1"/>
  <c r="M1985" i="1"/>
  <c r="O1984" i="1"/>
  <c r="O1984" i="1" a="1"/>
  <c r="N1984" i="1"/>
  <c r="M1984" i="1"/>
  <c r="O1983" i="1"/>
  <c r="O1983" i="1" a="1"/>
  <c r="N1983" i="1"/>
  <c r="M1983" i="1"/>
  <c r="O1982" i="1"/>
  <c r="O1982" i="1" a="1"/>
  <c r="N1982" i="1"/>
  <c r="M1982" i="1"/>
  <c r="O1981" i="1"/>
  <c r="O1981" i="1" a="1"/>
  <c r="N1981" i="1"/>
  <c r="M1981" i="1"/>
  <c r="O1980" i="1"/>
  <c r="O1980" i="1" a="1"/>
  <c r="N1980" i="1"/>
  <c r="M1980" i="1"/>
  <c r="O1979" i="1"/>
  <c r="O1979" i="1" a="1"/>
  <c r="N1979" i="1"/>
  <c r="M1979" i="1"/>
  <c r="O1978" i="1"/>
  <c r="O1978" i="1" a="1"/>
  <c r="N1978" i="1"/>
  <c r="M1978" i="1"/>
  <c r="O1977" i="1"/>
  <c r="O1977" i="1" a="1"/>
  <c r="N1977" i="1"/>
  <c r="M1977" i="1"/>
  <c r="O1976" i="1"/>
  <c r="O1976" i="1" a="1"/>
  <c r="N1976" i="1"/>
  <c r="M1976" i="1"/>
  <c r="O1975" i="1"/>
  <c r="O1975" i="1" a="1"/>
  <c r="N1975" i="1"/>
  <c r="M1975" i="1"/>
  <c r="O1974" i="1"/>
  <c r="O1974" i="1" a="1"/>
  <c r="N1974" i="1"/>
  <c r="M1974" i="1"/>
  <c r="O1973" i="1"/>
  <c r="O1973" i="1" a="1"/>
  <c r="N1973" i="1"/>
  <c r="M1973" i="1"/>
  <c r="O1972" i="1"/>
  <c r="O1972" i="1" a="1"/>
  <c r="N1972" i="1"/>
  <c r="M1972" i="1"/>
  <c r="O1971" i="1"/>
  <c r="O1971" i="1" a="1"/>
  <c r="N1971" i="1"/>
  <c r="M1971" i="1"/>
  <c r="O1970" i="1"/>
  <c r="O1970" i="1" a="1"/>
  <c r="N1970" i="1"/>
  <c r="M1970" i="1"/>
  <c r="O1969" i="1"/>
  <c r="O1969" i="1" a="1"/>
  <c r="N1969" i="1"/>
  <c r="M1969" i="1"/>
  <c r="O1968" i="1"/>
  <c r="O1968" i="1" a="1"/>
  <c r="N1968" i="1"/>
  <c r="M1968" i="1"/>
  <c r="O1967" i="1"/>
  <c r="O1967" i="1" a="1"/>
  <c r="N1967" i="1"/>
  <c r="M1967" i="1"/>
  <c r="O1966" i="1"/>
  <c r="O1966" i="1" a="1"/>
  <c r="N1966" i="1"/>
  <c r="M1966" i="1"/>
  <c r="O1965" i="1"/>
  <c r="O1965" i="1" a="1"/>
  <c r="N1965" i="1"/>
  <c r="M1965" i="1"/>
  <c r="O1964" i="1"/>
  <c r="O1964" i="1" a="1"/>
  <c r="N1964" i="1"/>
  <c r="M1964" i="1"/>
  <c r="O1963" i="1"/>
  <c r="O1963" i="1" a="1"/>
  <c r="N1963" i="1"/>
  <c r="M1963" i="1"/>
  <c r="O1962" i="1"/>
  <c r="O1962" i="1" a="1"/>
  <c r="N1962" i="1"/>
  <c r="M1962" i="1"/>
  <c r="O1961" i="1"/>
  <c r="O1961" i="1" a="1"/>
  <c r="N1961" i="1"/>
  <c r="M1961" i="1"/>
  <c r="O1960" i="1"/>
  <c r="O1960" i="1" a="1"/>
  <c r="N1960" i="1"/>
  <c r="M1960" i="1"/>
  <c r="O1959" i="1"/>
  <c r="O1959" i="1" a="1"/>
  <c r="N1959" i="1"/>
  <c r="M1959" i="1"/>
  <c r="O1958" i="1"/>
  <c r="O1958" i="1" a="1"/>
  <c r="N1958" i="1"/>
  <c r="M1958" i="1"/>
  <c r="O1957" i="1"/>
  <c r="O1957" i="1" a="1"/>
  <c r="N1957" i="1"/>
  <c r="M1957" i="1"/>
  <c r="O1956" i="1"/>
  <c r="O1956" i="1" a="1"/>
  <c r="N1956" i="1"/>
  <c r="M1956" i="1"/>
  <c r="O1955" i="1"/>
  <c r="O1955" i="1" a="1"/>
  <c r="N1955" i="1"/>
  <c r="M1955" i="1"/>
  <c r="O1954" i="1"/>
  <c r="O1954" i="1" a="1"/>
  <c r="N1954" i="1"/>
  <c r="M1954" i="1"/>
  <c r="O1953" i="1"/>
  <c r="O1953" i="1" a="1"/>
  <c r="N1953" i="1"/>
  <c r="M1953" i="1"/>
  <c r="O1952" i="1"/>
  <c r="O1952" i="1" a="1"/>
  <c r="N1952" i="1"/>
  <c r="M1952" i="1"/>
  <c r="O1951" i="1"/>
  <c r="O1951" i="1" a="1"/>
  <c r="N1951" i="1"/>
  <c r="M1951" i="1"/>
  <c r="O1950" i="1"/>
  <c r="O1950" i="1" a="1"/>
  <c r="N1950" i="1"/>
  <c r="M1950" i="1"/>
  <c r="O1949" i="1"/>
  <c r="O1949" i="1" a="1"/>
  <c r="N1949" i="1"/>
  <c r="M1949" i="1"/>
  <c r="O1948" i="1"/>
  <c r="O1948" i="1" a="1"/>
  <c r="N1948" i="1"/>
  <c r="M1948" i="1"/>
  <c r="O1947" i="1"/>
  <c r="O1947" i="1" a="1"/>
  <c r="N1947" i="1"/>
  <c r="M1947" i="1"/>
  <c r="O1946" i="1"/>
  <c r="O1946" i="1" a="1"/>
  <c r="N1946" i="1"/>
  <c r="M1946" i="1"/>
  <c r="O1945" i="1"/>
  <c r="O1945" i="1" a="1"/>
  <c r="N1945" i="1"/>
  <c r="M1945" i="1"/>
  <c r="O1944" i="1"/>
  <c r="O1944" i="1" a="1"/>
  <c r="N1944" i="1"/>
  <c r="M1944" i="1"/>
  <c r="O1943" i="1"/>
  <c r="O1943" i="1" a="1"/>
  <c r="N1943" i="1"/>
  <c r="M1943" i="1"/>
  <c r="O1942" i="1"/>
  <c r="O1942" i="1" a="1"/>
  <c r="N1942" i="1"/>
  <c r="M1942" i="1"/>
  <c r="O1941" i="1"/>
  <c r="O1941" i="1" a="1"/>
  <c r="N1941" i="1"/>
  <c r="M1941" i="1"/>
  <c r="O1940" i="1"/>
  <c r="O1940" i="1" a="1"/>
  <c r="N1940" i="1"/>
  <c r="M1940" i="1"/>
  <c r="O1939" i="1"/>
  <c r="O1939" i="1" a="1"/>
  <c r="N1939" i="1"/>
  <c r="M1939" i="1"/>
  <c r="O1938" i="1"/>
  <c r="O1938" i="1" a="1"/>
  <c r="N1938" i="1"/>
  <c r="M1938" i="1"/>
  <c r="O1937" i="1"/>
  <c r="O1937" i="1" a="1"/>
  <c r="N1937" i="1"/>
  <c r="M1937" i="1"/>
  <c r="O1936" i="1"/>
  <c r="O1936" i="1" a="1"/>
  <c r="N1936" i="1"/>
  <c r="M1936" i="1"/>
  <c r="O1935" i="1"/>
  <c r="O1935" i="1" a="1"/>
  <c r="N1935" i="1"/>
  <c r="M1935" i="1"/>
  <c r="O1934" i="1"/>
  <c r="O1934" i="1" a="1"/>
  <c r="N1934" i="1"/>
  <c r="M1934" i="1"/>
  <c r="O1933" i="1"/>
  <c r="O1933" i="1" a="1"/>
  <c r="N1933" i="1"/>
  <c r="M1933" i="1"/>
  <c r="O1932" i="1"/>
  <c r="O1932" i="1" a="1"/>
  <c r="N1932" i="1"/>
  <c r="M1932" i="1"/>
  <c r="O1931" i="1"/>
  <c r="O1931" i="1" a="1"/>
  <c r="N1931" i="1"/>
  <c r="M1931" i="1"/>
  <c r="O1930" i="1"/>
  <c r="O1930" i="1" a="1"/>
  <c r="N1930" i="1"/>
  <c r="M1930" i="1"/>
  <c r="O1929" i="1"/>
  <c r="O1929" i="1" a="1"/>
  <c r="N1929" i="1"/>
  <c r="M1929" i="1"/>
  <c r="O1928" i="1"/>
  <c r="O1928" i="1" a="1"/>
  <c r="N1928" i="1"/>
  <c r="M1928" i="1"/>
  <c r="O1927" i="1"/>
  <c r="O1927" i="1" a="1"/>
  <c r="N1927" i="1"/>
  <c r="M1927" i="1"/>
  <c r="O1926" i="1"/>
  <c r="O1926" i="1" a="1"/>
  <c r="N1926" i="1"/>
  <c r="M1926" i="1"/>
  <c r="O1925" i="1"/>
  <c r="O1925" i="1" a="1"/>
  <c r="N1925" i="1"/>
  <c r="M1925" i="1"/>
  <c r="O1924" i="1"/>
  <c r="O1924" i="1" a="1"/>
  <c r="N1924" i="1"/>
  <c r="M1924" i="1"/>
  <c r="O1923" i="1"/>
  <c r="O1923" i="1" a="1"/>
  <c r="N1923" i="1"/>
  <c r="M1923" i="1"/>
  <c r="O1922" i="1"/>
  <c r="O1922" i="1" a="1"/>
  <c r="N1922" i="1"/>
  <c r="M1922" i="1"/>
  <c r="O1921" i="1"/>
  <c r="O1921" i="1" a="1"/>
  <c r="N1921" i="1"/>
  <c r="M1921" i="1"/>
  <c r="O1920" i="1"/>
  <c r="O1920" i="1" a="1"/>
  <c r="N1920" i="1"/>
  <c r="M1920" i="1"/>
  <c r="O1919" i="1"/>
  <c r="O1919" i="1" a="1"/>
  <c r="N1919" i="1"/>
  <c r="M1919" i="1"/>
  <c r="O1918" i="1"/>
  <c r="O1918" i="1" a="1"/>
  <c r="N1918" i="1"/>
  <c r="M1918" i="1"/>
  <c r="O1917" i="1"/>
  <c r="O1917" i="1" a="1"/>
  <c r="N1917" i="1"/>
  <c r="M1917" i="1"/>
  <c r="O1916" i="1"/>
  <c r="O1916" i="1" a="1"/>
  <c r="N1916" i="1"/>
  <c r="M1916" i="1"/>
  <c r="O1915" i="1"/>
  <c r="O1915" i="1" a="1"/>
  <c r="N1915" i="1"/>
  <c r="M1915" i="1"/>
  <c r="O1914" i="1"/>
  <c r="O1914" i="1" a="1"/>
  <c r="N1914" i="1"/>
  <c r="M1914" i="1"/>
  <c r="O1913" i="1"/>
  <c r="O1913" i="1" a="1"/>
  <c r="N1913" i="1"/>
  <c r="M1913" i="1"/>
  <c r="O1912" i="1"/>
  <c r="O1912" i="1" a="1"/>
  <c r="N1912" i="1"/>
  <c r="M1912" i="1"/>
  <c r="O1911" i="1"/>
  <c r="O1911" i="1" a="1"/>
  <c r="N1911" i="1"/>
  <c r="M1911" i="1"/>
  <c r="O1910" i="1"/>
  <c r="O1910" i="1" a="1"/>
  <c r="N1910" i="1"/>
  <c r="M1910" i="1"/>
  <c r="O1909" i="1"/>
  <c r="O1909" i="1" a="1"/>
  <c r="N1909" i="1"/>
  <c r="M1909" i="1"/>
  <c r="O1908" i="1"/>
  <c r="O1908" i="1" a="1"/>
  <c r="N1908" i="1"/>
  <c r="M1908" i="1"/>
  <c r="O1907" i="1"/>
  <c r="O1907" i="1" a="1"/>
  <c r="N1907" i="1"/>
  <c r="M1907" i="1"/>
  <c r="O1906" i="1"/>
  <c r="O1906" i="1" a="1"/>
  <c r="N1906" i="1"/>
  <c r="M1906" i="1"/>
  <c r="O1905" i="1"/>
  <c r="O1905" i="1" a="1"/>
  <c r="N1905" i="1"/>
  <c r="M1905" i="1"/>
  <c r="O1904" i="1"/>
  <c r="O1904" i="1" a="1"/>
  <c r="N1904" i="1"/>
  <c r="M1904" i="1"/>
  <c r="O1903" i="1"/>
  <c r="O1903" i="1" a="1"/>
  <c r="N1903" i="1"/>
  <c r="M1903" i="1"/>
  <c r="O1902" i="1"/>
  <c r="O1902" i="1" a="1"/>
  <c r="N1902" i="1"/>
  <c r="M1902" i="1"/>
  <c r="O1901" i="1"/>
  <c r="O1901" i="1" a="1"/>
  <c r="N1901" i="1"/>
  <c r="M1901" i="1"/>
  <c r="O1900" i="1"/>
  <c r="O1900" i="1" a="1"/>
  <c r="N1900" i="1"/>
  <c r="M1900" i="1"/>
  <c r="O1899" i="1"/>
  <c r="O1899" i="1" a="1"/>
  <c r="N1899" i="1"/>
  <c r="M1899" i="1"/>
  <c r="O1898" i="1"/>
  <c r="O1898" i="1" a="1"/>
  <c r="N1898" i="1"/>
  <c r="M1898" i="1"/>
  <c r="O1897" i="1"/>
  <c r="O1897" i="1" a="1"/>
  <c r="N1897" i="1"/>
  <c r="M1897" i="1"/>
  <c r="O1896" i="1"/>
  <c r="O1896" i="1" a="1"/>
  <c r="N1896" i="1"/>
  <c r="M1896" i="1"/>
  <c r="O1895" i="1"/>
  <c r="O1895" i="1" a="1"/>
  <c r="N1895" i="1"/>
  <c r="M1895" i="1"/>
  <c r="O1894" i="1"/>
  <c r="O1894" i="1" a="1"/>
  <c r="N1894" i="1"/>
  <c r="M1894" i="1"/>
  <c r="O1893" i="1"/>
  <c r="O1893" i="1" a="1"/>
  <c r="N1893" i="1"/>
  <c r="M1893" i="1"/>
  <c r="O1892" i="1"/>
  <c r="O1892" i="1" a="1"/>
  <c r="N1892" i="1"/>
  <c r="M1892" i="1"/>
  <c r="O1891" i="1"/>
  <c r="O1891" i="1" a="1"/>
  <c r="N1891" i="1"/>
  <c r="M1891" i="1"/>
  <c r="O1890" i="1"/>
  <c r="O1890" i="1" a="1"/>
  <c r="N1890" i="1"/>
  <c r="M1890" i="1"/>
  <c r="O1889" i="1"/>
  <c r="O1889" i="1" a="1"/>
  <c r="N1889" i="1"/>
  <c r="M1889" i="1"/>
  <c r="O1888" i="1"/>
  <c r="O1888" i="1" a="1"/>
  <c r="N1888" i="1"/>
  <c r="M1888" i="1"/>
  <c r="O1887" i="1"/>
  <c r="O1887" i="1" a="1"/>
  <c r="N1887" i="1"/>
  <c r="M1887" i="1"/>
  <c r="O1886" i="1"/>
  <c r="O1886" i="1" a="1"/>
  <c r="N1886" i="1"/>
  <c r="M1886" i="1"/>
  <c r="O1885" i="1"/>
  <c r="O1885" i="1" a="1"/>
  <c r="N1885" i="1"/>
  <c r="M1885" i="1"/>
  <c r="O1884" i="1"/>
  <c r="O1884" i="1" a="1"/>
  <c r="N1884" i="1"/>
  <c r="M1884" i="1"/>
  <c r="O1883" i="1"/>
  <c r="O1883" i="1" a="1"/>
  <c r="N1883" i="1"/>
  <c r="M1883" i="1"/>
  <c r="O1882" i="1"/>
  <c r="O1882" i="1" a="1"/>
  <c r="N1882" i="1"/>
  <c r="M1882" i="1"/>
  <c r="O1881" i="1"/>
  <c r="O1881" i="1" a="1"/>
  <c r="N1881" i="1"/>
  <c r="M1881" i="1"/>
  <c r="O1880" i="1"/>
  <c r="O1880" i="1" a="1"/>
  <c r="N1880" i="1"/>
  <c r="M1880" i="1"/>
  <c r="O1879" i="1"/>
  <c r="O1879" i="1" a="1"/>
  <c r="N1879" i="1"/>
  <c r="M1879" i="1"/>
  <c r="O1878" i="1"/>
  <c r="O1878" i="1" a="1"/>
  <c r="N1878" i="1"/>
  <c r="M1878" i="1"/>
  <c r="O1877" i="1"/>
  <c r="O1877" i="1" a="1"/>
  <c r="N1877" i="1"/>
  <c r="M1877" i="1"/>
  <c r="O1876" i="1"/>
  <c r="O1876" i="1" a="1"/>
  <c r="N1876" i="1"/>
  <c r="M1876" i="1"/>
  <c r="O1875" i="1"/>
  <c r="O1875" i="1" a="1"/>
  <c r="N1875" i="1"/>
  <c r="M1875" i="1"/>
  <c r="O1874" i="1"/>
  <c r="O1874" i="1" a="1"/>
  <c r="N1874" i="1"/>
  <c r="M1874" i="1"/>
  <c r="O1873" i="1"/>
  <c r="O1873" i="1" a="1"/>
  <c r="N1873" i="1"/>
  <c r="M1873" i="1"/>
  <c r="O1872" i="1"/>
  <c r="O1872" i="1" a="1"/>
  <c r="N1872" i="1"/>
  <c r="M1872" i="1"/>
  <c r="O1871" i="1"/>
  <c r="O1871" i="1" a="1"/>
  <c r="N1871" i="1"/>
  <c r="M1871" i="1"/>
  <c r="O1870" i="1"/>
  <c r="O1870" i="1" a="1"/>
  <c r="N1870" i="1"/>
  <c r="M1870" i="1"/>
  <c r="O1869" i="1"/>
  <c r="O1869" i="1" a="1"/>
  <c r="N1869" i="1"/>
  <c r="M1869" i="1"/>
  <c r="O1868" i="1"/>
  <c r="O1868" i="1" a="1"/>
  <c r="N1868" i="1"/>
  <c r="M1868" i="1"/>
  <c r="O1867" i="1"/>
  <c r="O1867" i="1" a="1"/>
  <c r="N1867" i="1"/>
  <c r="M1867" i="1"/>
  <c r="O1866" i="1"/>
  <c r="O1866" i="1" a="1"/>
  <c r="N1866" i="1"/>
  <c r="M1866" i="1"/>
  <c r="O1865" i="1"/>
  <c r="O1865" i="1" a="1"/>
  <c r="N1865" i="1"/>
  <c r="M1865" i="1"/>
  <c r="O1864" i="1"/>
  <c r="O1864" i="1" a="1"/>
  <c r="N1864" i="1"/>
  <c r="M1864" i="1"/>
  <c r="O1863" i="1"/>
  <c r="O1863" i="1" a="1"/>
  <c r="N1863" i="1"/>
  <c r="M1863" i="1"/>
  <c r="O1862" i="1"/>
  <c r="O1862" i="1" a="1"/>
  <c r="N1862" i="1"/>
  <c r="M1862" i="1"/>
  <c r="O1861" i="1"/>
  <c r="O1861" i="1" a="1"/>
  <c r="N1861" i="1"/>
  <c r="M1861" i="1"/>
  <c r="O1860" i="1"/>
  <c r="O1860" i="1" a="1"/>
  <c r="N1860" i="1"/>
  <c r="M1860" i="1"/>
  <c r="O1859" i="1"/>
  <c r="O1859" i="1" a="1"/>
  <c r="N1859" i="1"/>
  <c r="M1859" i="1"/>
  <c r="O1858" i="1"/>
  <c r="O1858" i="1" a="1"/>
  <c r="N1858" i="1"/>
  <c r="M1858" i="1"/>
  <c r="O1857" i="1"/>
  <c r="O1857" i="1" a="1"/>
  <c r="N1857" i="1"/>
  <c r="M1857" i="1"/>
  <c r="O1856" i="1"/>
  <c r="O1856" i="1" a="1"/>
  <c r="N1856" i="1"/>
  <c r="M1856" i="1"/>
  <c r="O1855" i="1"/>
  <c r="O1855" i="1" a="1"/>
  <c r="N1855" i="1"/>
  <c r="M1855" i="1"/>
  <c r="O1854" i="1"/>
  <c r="O1854" i="1" a="1"/>
  <c r="N1854" i="1"/>
  <c r="M1854" i="1"/>
  <c r="O1853" i="1"/>
  <c r="O1853" i="1" a="1"/>
  <c r="N1853" i="1"/>
  <c r="M1853" i="1"/>
  <c r="O1852" i="1"/>
  <c r="O1852" i="1" a="1"/>
  <c r="N1852" i="1"/>
  <c r="M1852" i="1"/>
  <c r="O1851" i="1"/>
  <c r="O1851" i="1" a="1"/>
  <c r="N1851" i="1"/>
  <c r="M1851" i="1"/>
  <c r="O1850" i="1"/>
  <c r="O1850" i="1" a="1"/>
  <c r="N1850" i="1"/>
  <c r="M1850" i="1"/>
  <c r="O1849" i="1"/>
  <c r="O1849" i="1" a="1"/>
  <c r="N1849" i="1"/>
  <c r="M1849" i="1"/>
  <c r="O1848" i="1"/>
  <c r="O1848" i="1" a="1"/>
  <c r="N1848" i="1"/>
  <c r="M1848" i="1"/>
  <c r="O1847" i="1"/>
  <c r="O1847" i="1" a="1"/>
  <c r="N1847" i="1"/>
  <c r="M1847" i="1"/>
  <c r="O1846" i="1"/>
  <c r="O1846" i="1" a="1"/>
  <c r="N1846" i="1"/>
  <c r="M1846" i="1"/>
  <c r="O1845" i="1"/>
  <c r="O1845" i="1" a="1"/>
  <c r="N1845" i="1"/>
  <c r="M1845" i="1"/>
  <c r="O1844" i="1"/>
  <c r="O1844" i="1" a="1"/>
  <c r="N1844" i="1"/>
  <c r="M1844" i="1"/>
  <c r="O1843" i="1"/>
  <c r="O1843" i="1" a="1"/>
  <c r="N1843" i="1"/>
  <c r="M1843" i="1"/>
  <c r="O1842" i="1"/>
  <c r="O1842" i="1" a="1"/>
  <c r="N1842" i="1"/>
  <c r="M1842" i="1"/>
  <c r="O1841" i="1"/>
  <c r="O1841" i="1" a="1"/>
  <c r="N1841" i="1"/>
  <c r="M1841" i="1"/>
  <c r="O1840" i="1"/>
  <c r="O1840" i="1" a="1"/>
  <c r="N1840" i="1"/>
  <c r="M1840" i="1"/>
  <c r="O1839" i="1"/>
  <c r="O1839" i="1" a="1"/>
  <c r="N1839" i="1"/>
  <c r="M1839" i="1"/>
  <c r="O1838" i="1"/>
  <c r="O1838" i="1" a="1"/>
  <c r="N1838" i="1"/>
  <c r="M1838" i="1"/>
  <c r="O1837" i="1"/>
  <c r="O1837" i="1" a="1"/>
  <c r="N1837" i="1"/>
  <c r="M1837" i="1"/>
  <c r="O1836" i="1"/>
  <c r="O1836" i="1" a="1"/>
  <c r="N1836" i="1"/>
  <c r="M1836" i="1"/>
  <c r="O1835" i="1"/>
  <c r="O1835" i="1" a="1"/>
  <c r="N1835" i="1"/>
  <c r="M1835" i="1"/>
  <c r="O1834" i="1"/>
  <c r="O1834" i="1" a="1"/>
  <c r="N1834" i="1"/>
  <c r="M1834" i="1"/>
  <c r="O1833" i="1"/>
  <c r="O1833" i="1" a="1"/>
  <c r="N1833" i="1"/>
  <c r="M1833" i="1"/>
  <c r="O1832" i="1"/>
  <c r="O1832" i="1" a="1"/>
  <c r="N1832" i="1"/>
  <c r="M1832" i="1"/>
  <c r="O1831" i="1"/>
  <c r="O1831" i="1" a="1"/>
  <c r="N1831" i="1"/>
  <c r="M1831" i="1"/>
  <c r="O1830" i="1"/>
  <c r="O1830" i="1" a="1"/>
  <c r="N1830" i="1"/>
  <c r="M1830" i="1"/>
  <c r="O1829" i="1"/>
  <c r="O1829" i="1" a="1"/>
  <c r="N1829" i="1"/>
  <c r="M1829" i="1"/>
  <c r="O1828" i="1"/>
  <c r="O1828" i="1" a="1"/>
  <c r="N1828" i="1"/>
  <c r="M1828" i="1"/>
  <c r="O1827" i="1"/>
  <c r="O1827" i="1" a="1"/>
  <c r="N1827" i="1"/>
  <c r="M1827" i="1"/>
  <c r="O1826" i="1"/>
  <c r="O1826" i="1" a="1"/>
  <c r="N1826" i="1"/>
  <c r="M1826" i="1"/>
  <c r="O1825" i="1"/>
  <c r="O1825" i="1" a="1"/>
  <c r="N1825" i="1"/>
  <c r="M1825" i="1"/>
  <c r="O1824" i="1"/>
  <c r="O1824" i="1" a="1"/>
  <c r="N1824" i="1"/>
  <c r="M1824" i="1"/>
  <c r="O1823" i="1"/>
  <c r="O1823" i="1" a="1"/>
  <c r="N1823" i="1"/>
  <c r="M1823" i="1"/>
  <c r="O1822" i="1"/>
  <c r="O1822" i="1" a="1"/>
  <c r="N1822" i="1"/>
  <c r="M1822" i="1"/>
  <c r="O1821" i="1"/>
  <c r="O1821" i="1" a="1"/>
  <c r="N1821" i="1"/>
  <c r="M1821" i="1"/>
  <c r="O1820" i="1"/>
  <c r="O1820" i="1" a="1"/>
  <c r="N1820" i="1"/>
  <c r="M1820" i="1"/>
  <c r="O1819" i="1"/>
  <c r="O1819" i="1" a="1"/>
  <c r="N1819" i="1"/>
  <c r="M1819" i="1"/>
  <c r="O1818" i="1"/>
  <c r="O1818" i="1" a="1"/>
  <c r="N1818" i="1"/>
  <c r="M1818" i="1"/>
  <c r="O1817" i="1"/>
  <c r="O1817" i="1" a="1"/>
  <c r="N1817" i="1"/>
  <c r="M1817" i="1"/>
  <c r="O1816" i="1"/>
  <c r="O1816" i="1" a="1"/>
  <c r="N1816" i="1"/>
  <c r="M1816" i="1"/>
  <c r="O1815" i="1"/>
  <c r="O1815" i="1" a="1"/>
  <c r="N1815" i="1"/>
  <c r="M1815" i="1"/>
  <c r="O1814" i="1"/>
  <c r="O1814" i="1" a="1"/>
  <c r="N1814" i="1"/>
  <c r="M1814" i="1"/>
  <c r="O1813" i="1"/>
  <c r="O1813" i="1" a="1"/>
  <c r="N1813" i="1"/>
  <c r="M1813" i="1"/>
  <c r="O1812" i="1"/>
  <c r="O1812" i="1" a="1"/>
  <c r="N1812" i="1"/>
  <c r="M1812" i="1"/>
  <c r="O1811" i="1"/>
  <c r="O1811" i="1" a="1"/>
  <c r="N1811" i="1"/>
  <c r="M1811" i="1"/>
  <c r="O1810" i="1"/>
  <c r="O1810" i="1" a="1"/>
  <c r="N1810" i="1"/>
  <c r="M1810" i="1"/>
  <c r="O1809" i="1"/>
  <c r="O1809" i="1" a="1"/>
  <c r="N1809" i="1"/>
  <c r="M1809" i="1"/>
  <c r="O1808" i="1"/>
  <c r="O1808" i="1" a="1"/>
  <c r="N1808" i="1"/>
  <c r="M1808" i="1"/>
  <c r="O1807" i="1"/>
  <c r="O1807" i="1" a="1"/>
  <c r="N1807" i="1"/>
  <c r="M1807" i="1"/>
  <c r="O1806" i="1"/>
  <c r="O1806" i="1" a="1"/>
  <c r="N1806" i="1"/>
  <c r="M1806" i="1"/>
  <c r="O1805" i="1"/>
  <c r="O1805" i="1" a="1"/>
  <c r="N1805" i="1"/>
  <c r="M1805" i="1"/>
  <c r="O1804" i="1"/>
  <c r="O1804" i="1" a="1"/>
  <c r="N1804" i="1"/>
  <c r="M1804" i="1"/>
  <c r="O1803" i="1"/>
  <c r="O1803" i="1" a="1"/>
  <c r="N1803" i="1"/>
  <c r="M1803" i="1"/>
  <c r="O1802" i="1"/>
  <c r="O1802" i="1" a="1"/>
  <c r="N1802" i="1"/>
  <c r="M1802" i="1"/>
  <c r="O1801" i="1"/>
  <c r="O1801" i="1" a="1"/>
  <c r="N1801" i="1"/>
  <c r="M1801" i="1"/>
  <c r="O1800" i="1"/>
  <c r="O1800" i="1" a="1"/>
  <c r="N1800" i="1"/>
  <c r="M1800" i="1"/>
  <c r="O1799" i="1"/>
  <c r="O1799" i="1" a="1"/>
  <c r="N1799" i="1"/>
  <c r="M1799" i="1"/>
  <c r="O1798" i="1"/>
  <c r="O1798" i="1" a="1"/>
  <c r="N1798" i="1"/>
  <c r="M1798" i="1"/>
  <c r="O1797" i="1"/>
  <c r="O1797" i="1" a="1"/>
  <c r="N1797" i="1"/>
  <c r="M1797" i="1"/>
  <c r="O1796" i="1"/>
  <c r="O1796" i="1" a="1"/>
  <c r="N1796" i="1"/>
  <c r="M1796" i="1"/>
  <c r="O1795" i="1"/>
  <c r="O1795" i="1" a="1"/>
  <c r="N1795" i="1"/>
  <c r="M1795" i="1"/>
  <c r="O1794" i="1"/>
  <c r="O1794" i="1" a="1"/>
  <c r="N1794" i="1"/>
  <c r="M1794" i="1"/>
  <c r="O1793" i="1"/>
  <c r="O1793" i="1" a="1"/>
  <c r="N1793" i="1"/>
  <c r="M1793" i="1"/>
  <c r="O1792" i="1"/>
  <c r="O1792" i="1" a="1"/>
  <c r="N1792" i="1"/>
  <c r="M1792" i="1"/>
  <c r="O1791" i="1"/>
  <c r="O1791" i="1" a="1"/>
  <c r="N1791" i="1"/>
  <c r="M1791" i="1"/>
  <c r="O1790" i="1"/>
  <c r="O1790" i="1" a="1"/>
  <c r="N1790" i="1"/>
  <c r="M1790" i="1"/>
  <c r="O1789" i="1"/>
  <c r="O1789" i="1" a="1"/>
  <c r="N1789" i="1"/>
  <c r="M1789" i="1"/>
  <c r="O1788" i="1"/>
  <c r="O1788" i="1" a="1"/>
  <c r="N1788" i="1"/>
  <c r="M1788" i="1"/>
  <c r="O1787" i="1"/>
  <c r="O1787" i="1" a="1"/>
  <c r="N1787" i="1"/>
  <c r="M1787" i="1"/>
  <c r="O1786" i="1"/>
  <c r="O1786" i="1" a="1"/>
  <c r="N1786" i="1"/>
  <c r="M1786" i="1"/>
  <c r="O1785" i="1"/>
  <c r="O1785" i="1" a="1"/>
  <c r="N1785" i="1"/>
  <c r="M1785" i="1"/>
  <c r="O1784" i="1"/>
  <c r="O1784" i="1" a="1"/>
  <c r="N1784" i="1"/>
  <c r="M1784" i="1"/>
  <c r="O1783" i="1"/>
  <c r="O1783" i="1" a="1"/>
  <c r="N1783" i="1"/>
  <c r="M1783" i="1"/>
  <c r="O1782" i="1"/>
  <c r="O1782" i="1" a="1"/>
  <c r="N1782" i="1"/>
  <c r="M1782" i="1"/>
  <c r="O1781" i="1"/>
  <c r="O1781" i="1" a="1"/>
  <c r="N1781" i="1"/>
  <c r="M1781" i="1"/>
  <c r="O1780" i="1"/>
  <c r="O1780" i="1" a="1"/>
  <c r="N1780" i="1"/>
  <c r="M1780" i="1"/>
  <c r="O1779" i="1"/>
  <c r="O1779" i="1" a="1"/>
  <c r="N1779" i="1"/>
  <c r="M1779" i="1"/>
  <c r="O1778" i="1"/>
  <c r="O1778" i="1" a="1"/>
  <c r="N1778" i="1"/>
  <c r="M1778" i="1"/>
  <c r="O1777" i="1"/>
  <c r="O1777" i="1" a="1"/>
  <c r="N1777" i="1"/>
  <c r="M1777" i="1"/>
  <c r="O1776" i="1"/>
  <c r="O1776" i="1" a="1"/>
  <c r="N1776" i="1"/>
  <c r="M1776" i="1"/>
  <c r="O1775" i="1"/>
  <c r="O1775" i="1" a="1"/>
  <c r="N1775" i="1"/>
  <c r="M1775" i="1"/>
  <c r="O1774" i="1"/>
  <c r="O1774" i="1" a="1"/>
  <c r="N1774" i="1"/>
  <c r="M1774" i="1"/>
  <c r="O1773" i="1"/>
  <c r="O1773" i="1" a="1"/>
  <c r="N1773" i="1"/>
  <c r="M1773" i="1"/>
  <c r="O1772" i="1"/>
  <c r="O1772" i="1" a="1"/>
  <c r="N1772" i="1"/>
  <c r="M1772" i="1"/>
  <c r="O1771" i="1"/>
  <c r="O1771" i="1" a="1"/>
  <c r="N1771" i="1"/>
  <c r="M1771" i="1"/>
  <c r="O1770" i="1"/>
  <c r="O1770" i="1" a="1"/>
  <c r="N1770" i="1"/>
  <c r="M1770" i="1"/>
  <c r="O1769" i="1"/>
  <c r="O1769" i="1" a="1"/>
  <c r="N1769" i="1"/>
  <c r="M1769" i="1"/>
  <c r="O1768" i="1"/>
  <c r="O1768" i="1" a="1"/>
  <c r="N1768" i="1"/>
  <c r="M1768" i="1"/>
  <c r="O1767" i="1"/>
  <c r="O1767" i="1" a="1"/>
  <c r="N1767" i="1"/>
  <c r="M1767" i="1"/>
  <c r="O1766" i="1"/>
  <c r="O1766" i="1" a="1"/>
  <c r="N1766" i="1"/>
  <c r="M1766" i="1"/>
  <c r="O1765" i="1"/>
  <c r="O1765" i="1" a="1"/>
  <c r="N1765" i="1"/>
  <c r="M1765" i="1"/>
  <c r="O1764" i="1"/>
  <c r="O1764" i="1" a="1"/>
  <c r="N1764" i="1"/>
  <c r="M1764" i="1"/>
  <c r="O1763" i="1"/>
  <c r="O1763" i="1" a="1"/>
  <c r="N1763" i="1"/>
  <c r="M1763" i="1"/>
  <c r="O1762" i="1"/>
  <c r="O1762" i="1" a="1"/>
  <c r="N1762" i="1"/>
  <c r="M1762" i="1"/>
  <c r="O1761" i="1"/>
  <c r="O1761" i="1" a="1"/>
  <c r="N1761" i="1"/>
  <c r="M1761" i="1"/>
  <c r="O1760" i="1"/>
  <c r="O1760" i="1" a="1"/>
  <c r="N1760" i="1"/>
  <c r="M1760" i="1"/>
  <c r="O1759" i="1"/>
  <c r="O1759" i="1" a="1"/>
  <c r="N1759" i="1"/>
  <c r="M1759" i="1"/>
  <c r="O1758" i="1"/>
  <c r="O1758" i="1" a="1"/>
  <c r="N1758" i="1"/>
  <c r="M1758" i="1"/>
  <c r="O1757" i="1"/>
  <c r="O1757" i="1" a="1"/>
  <c r="N1757" i="1"/>
  <c r="M1757" i="1"/>
  <c r="O1756" i="1"/>
  <c r="O1756" i="1" a="1"/>
  <c r="N1756" i="1"/>
  <c r="M1756" i="1"/>
  <c r="O1755" i="1"/>
  <c r="O1755" i="1" a="1"/>
  <c r="N1755" i="1"/>
  <c r="M1755" i="1"/>
  <c r="O1754" i="1"/>
  <c r="O1754" i="1" a="1"/>
  <c r="N1754" i="1"/>
  <c r="M1754" i="1"/>
  <c r="O1753" i="1"/>
  <c r="O1753" i="1" a="1"/>
  <c r="N1753" i="1"/>
  <c r="M1753" i="1"/>
  <c r="O1752" i="1"/>
  <c r="O1752" i="1" a="1"/>
  <c r="N1752" i="1"/>
  <c r="M1752" i="1"/>
  <c r="O1751" i="1"/>
  <c r="O1751" i="1" a="1"/>
  <c r="N1751" i="1"/>
  <c r="M1751" i="1"/>
  <c r="O1750" i="1"/>
  <c r="O1750" i="1" a="1"/>
  <c r="N1750" i="1"/>
  <c r="M1750" i="1"/>
  <c r="O1749" i="1"/>
  <c r="O1749" i="1" a="1"/>
  <c r="N1749" i="1"/>
  <c r="M1749" i="1"/>
  <c r="O1748" i="1"/>
  <c r="O1748" i="1" a="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c r="O1742" i="1" a="1"/>
  <c r="N1742" i="1"/>
  <c r="M1742" i="1"/>
  <c r="O1741" i="1"/>
  <c r="O1741" i="1" a="1"/>
  <c r="N1741" i="1"/>
  <c r="M1741" i="1"/>
  <c r="O1740" i="1"/>
  <c r="O1740" i="1" a="1"/>
  <c r="N1740" i="1"/>
  <c r="M1740" i="1"/>
  <c r="O1739" i="1"/>
  <c r="O1739" i="1" a="1"/>
  <c r="N1739" i="1"/>
  <c r="M1739" i="1"/>
  <c r="O1738" i="1"/>
  <c r="O1738" i="1" a="1"/>
  <c r="N1738" i="1"/>
  <c r="M1738" i="1"/>
  <c r="O1737" i="1"/>
  <c r="O1737" i="1" a="1"/>
  <c r="N1737" i="1"/>
  <c r="M1737" i="1"/>
  <c r="O1736" i="1"/>
  <c r="O1736" i="1" a="1"/>
  <c r="N1736" i="1"/>
  <c r="M1736" i="1"/>
  <c r="O1735" i="1"/>
  <c r="O1735" i="1" a="1"/>
  <c r="N1735" i="1"/>
  <c r="M1735" i="1"/>
  <c r="O1734" i="1"/>
  <c r="O1734" i="1" a="1"/>
  <c r="N1734" i="1"/>
  <c r="M1734" i="1"/>
  <c r="O1733" i="1"/>
  <c r="O1733" i="1" a="1"/>
  <c r="N1733" i="1"/>
  <c r="M1733" i="1"/>
  <c r="O1732" i="1"/>
  <c r="O1732" i="1" a="1"/>
  <c r="N1732" i="1"/>
  <c r="M1732" i="1"/>
  <c r="O1731" i="1"/>
  <c r="O1731" i="1" a="1"/>
  <c r="N1731" i="1"/>
  <c r="M1731" i="1"/>
  <c r="O1730" i="1"/>
  <c r="O1730" i="1" a="1"/>
  <c r="N1730" i="1"/>
  <c r="M1730" i="1"/>
  <c r="O1729" i="1"/>
  <c r="O1729" i="1" a="1"/>
  <c r="N1729" i="1"/>
  <c r="M1729" i="1"/>
  <c r="O1728" i="1"/>
  <c r="O1728" i="1" a="1"/>
  <c r="N1728" i="1"/>
  <c r="M1728" i="1"/>
  <c r="O1727" i="1"/>
  <c r="O1727" i="1" a="1"/>
  <c r="N1727" i="1"/>
  <c r="M1727" i="1"/>
  <c r="O1726" i="1"/>
  <c r="O1726" i="1" a="1"/>
  <c r="N1726" i="1"/>
  <c r="M1726" i="1"/>
  <c r="O1725" i="1"/>
  <c r="O1725" i="1" a="1"/>
  <c r="N1725" i="1"/>
  <c r="M1725" i="1"/>
  <c r="O1724" i="1"/>
  <c r="O1724" i="1" a="1"/>
  <c r="N1724" i="1"/>
  <c r="M1724" i="1"/>
  <c r="O1723" i="1"/>
  <c r="O1723" i="1" a="1"/>
  <c r="N1723" i="1"/>
  <c r="M1723" i="1"/>
  <c r="O1722" i="1"/>
  <c r="O1722" i="1" a="1"/>
  <c r="N1722" i="1"/>
  <c r="M1722" i="1"/>
  <c r="O1721" i="1"/>
  <c r="O1721" i="1" a="1"/>
  <c r="N1721" i="1"/>
  <c r="M1721" i="1"/>
  <c r="O1720" i="1"/>
  <c r="O1720" i="1" a="1"/>
  <c r="N1720" i="1"/>
  <c r="M1720" i="1"/>
  <c r="O1719" i="1"/>
  <c r="O1719" i="1" a="1"/>
  <c r="N1719" i="1"/>
  <c r="M1719" i="1"/>
  <c r="O1718" i="1"/>
  <c r="O1718" i="1" a="1"/>
  <c r="N1718" i="1"/>
  <c r="M1718" i="1"/>
  <c r="O1717" i="1"/>
  <c r="O1717" i="1" a="1"/>
  <c r="N1717" i="1"/>
  <c r="M1717" i="1"/>
  <c r="O1716" i="1"/>
  <c r="O1716" i="1" a="1"/>
  <c r="N1716" i="1"/>
  <c r="M1716" i="1"/>
  <c r="O1715" i="1"/>
  <c r="O1715" i="1" a="1"/>
  <c r="N1715" i="1"/>
  <c r="M1715" i="1"/>
  <c r="O1714" i="1"/>
  <c r="O1714" i="1" a="1"/>
  <c r="N1714" i="1"/>
  <c r="M1714" i="1"/>
  <c r="O1713" i="1"/>
  <c r="O1713" i="1" a="1"/>
  <c r="N1713" i="1"/>
  <c r="M1713" i="1"/>
  <c r="O1712" i="1"/>
  <c r="O1712" i="1" a="1"/>
  <c r="N1712" i="1"/>
  <c r="M1712" i="1"/>
  <c r="O1711" i="1"/>
  <c r="O1711" i="1" a="1"/>
  <c r="N1711" i="1"/>
  <c r="M1711" i="1"/>
  <c r="O1710" i="1"/>
  <c r="O1710" i="1" a="1"/>
  <c r="N1710" i="1"/>
  <c r="M1710" i="1"/>
  <c r="O1709" i="1"/>
  <c r="O1709" i="1" a="1"/>
  <c r="N1709" i="1"/>
  <c r="M1709" i="1"/>
  <c r="O1708" i="1"/>
  <c r="O1708" i="1" a="1"/>
  <c r="N1708" i="1"/>
  <c r="M1708" i="1"/>
  <c r="O1707" i="1"/>
  <c r="O1707" i="1" a="1"/>
  <c r="N1707" i="1"/>
  <c r="M1707" i="1"/>
  <c r="O1706" i="1"/>
  <c r="O1706" i="1" a="1"/>
  <c r="N1706" i="1"/>
  <c r="M1706" i="1"/>
  <c r="O1705" i="1"/>
  <c r="O1705" i="1" a="1"/>
  <c r="N1705" i="1"/>
  <c r="M1705" i="1"/>
  <c r="O1704" i="1"/>
  <c r="O1704" i="1" a="1"/>
  <c r="N1704" i="1"/>
  <c r="M1704" i="1"/>
  <c r="O1703" i="1"/>
  <c r="O1703" i="1" a="1"/>
  <c r="N1703" i="1"/>
  <c r="M1703" i="1"/>
  <c r="O1702" i="1"/>
  <c r="O1702" i="1" a="1"/>
  <c r="N1702" i="1"/>
  <c r="M1702" i="1"/>
  <c r="O1701" i="1"/>
  <c r="O1701" i="1" a="1"/>
  <c r="N1701" i="1"/>
  <c r="M1701" i="1"/>
  <c r="O1700" i="1"/>
  <c r="O1700" i="1" a="1"/>
  <c r="N1700" i="1"/>
  <c r="M1700" i="1"/>
  <c r="O1699" i="1"/>
  <c r="O1699" i="1" a="1"/>
  <c r="N1699" i="1"/>
  <c r="M1699" i="1"/>
  <c r="O1698" i="1"/>
  <c r="O1698" i="1" a="1"/>
  <c r="N1698" i="1"/>
  <c r="M1698" i="1"/>
  <c r="O1697" i="1"/>
  <c r="O1697" i="1" a="1"/>
  <c r="N1697" i="1"/>
  <c r="M1697" i="1"/>
  <c r="O1696" i="1"/>
  <c r="O1696" i="1" a="1"/>
  <c r="N1696" i="1"/>
  <c r="M1696" i="1"/>
  <c r="O1695" i="1"/>
  <c r="O1695" i="1" a="1"/>
  <c r="N1695" i="1"/>
  <c r="M1695" i="1"/>
  <c r="O1694" i="1"/>
  <c r="O1694" i="1" a="1"/>
  <c r="N1694" i="1"/>
  <c r="M1694" i="1"/>
  <c r="O1693" i="1"/>
  <c r="O1693" i="1" a="1"/>
  <c r="N1693" i="1"/>
  <c r="M1693" i="1"/>
  <c r="O1692" i="1"/>
  <c r="O1692" i="1" a="1"/>
  <c r="N1692" i="1"/>
  <c r="M1692" i="1"/>
  <c r="O1691" i="1"/>
  <c r="O1691" i="1" a="1"/>
  <c r="N1691" i="1"/>
  <c r="M1691" i="1"/>
  <c r="O1690" i="1"/>
  <c r="O1690" i="1" a="1"/>
  <c r="N1690" i="1"/>
  <c r="M1690" i="1"/>
  <c r="O1689" i="1"/>
  <c r="O1689" i="1" a="1"/>
  <c r="N1689" i="1"/>
  <c r="M1689" i="1"/>
  <c r="O1688" i="1"/>
  <c r="O1688" i="1" a="1"/>
  <c r="N1688" i="1"/>
  <c r="M1688" i="1"/>
  <c r="O1687" i="1"/>
  <c r="O1687" i="1" a="1"/>
  <c r="N1687" i="1"/>
  <c r="M1687" i="1"/>
  <c r="O1686" i="1"/>
  <c r="O1686" i="1" a="1"/>
  <c r="N1686" i="1"/>
  <c r="M1686" i="1"/>
  <c r="O1685" i="1"/>
  <c r="O1685" i="1" a="1"/>
  <c r="N1685" i="1"/>
  <c r="M1685" i="1"/>
  <c r="O1684" i="1"/>
  <c r="O1684" i="1" a="1"/>
  <c r="N1684" i="1"/>
  <c r="M1684" i="1"/>
  <c r="O1683" i="1"/>
  <c r="O1683" i="1" a="1"/>
  <c r="N1683" i="1"/>
  <c r="M1683" i="1"/>
  <c r="O1682" i="1"/>
  <c r="O1682" i="1" a="1"/>
  <c r="N1682" i="1"/>
  <c r="M1682" i="1"/>
  <c r="O1681" i="1"/>
  <c r="O1681" i="1" a="1"/>
  <c r="N1681" i="1"/>
  <c r="M1681" i="1"/>
  <c r="O1680" i="1"/>
  <c r="O1680" i="1" a="1"/>
  <c r="N1680" i="1"/>
  <c r="M1680" i="1"/>
  <c r="O1679" i="1"/>
  <c r="O1679" i="1" a="1"/>
  <c r="N1679" i="1"/>
  <c r="M1679" i="1"/>
  <c r="O1678" i="1"/>
  <c r="O1678" i="1" a="1"/>
  <c r="N1678" i="1"/>
  <c r="M1678" i="1"/>
  <c r="O1677" i="1"/>
  <c r="O1677" i="1" a="1"/>
  <c r="N1677" i="1"/>
  <c r="M1677" i="1"/>
  <c r="O1676" i="1"/>
  <c r="O1676" i="1" a="1"/>
  <c r="N1676" i="1"/>
  <c r="M1676" i="1"/>
  <c r="O1675" i="1"/>
  <c r="O1675" i="1" a="1"/>
  <c r="N1675" i="1"/>
  <c r="M1675" i="1"/>
  <c r="O1674" i="1"/>
  <c r="O1674" i="1" a="1"/>
  <c r="N1674" i="1"/>
  <c r="M1674" i="1"/>
  <c r="O1673" i="1"/>
  <c r="O1673" i="1" a="1"/>
  <c r="N1673" i="1"/>
  <c r="M1673" i="1"/>
  <c r="O1672" i="1"/>
  <c r="O1672" i="1" a="1"/>
  <c r="N1672" i="1"/>
  <c r="M1672" i="1"/>
  <c r="O1671" i="1"/>
  <c r="O1671" i="1" a="1"/>
  <c r="N1671" i="1"/>
  <c r="M1671" i="1"/>
  <c r="O1670" i="1"/>
  <c r="O1670" i="1" a="1"/>
  <c r="N1670" i="1"/>
  <c r="M1670" i="1"/>
  <c r="O1669" i="1"/>
  <c r="O1669" i="1" a="1"/>
  <c r="N1669" i="1"/>
  <c r="M1669" i="1"/>
  <c r="O1668" i="1"/>
  <c r="O1668" i="1" a="1"/>
  <c r="N1668" i="1"/>
  <c r="M1668" i="1"/>
  <c r="O1667" i="1"/>
  <c r="O1667" i="1" a="1"/>
  <c r="N1667" i="1"/>
  <c r="M1667" i="1"/>
  <c r="O1666" i="1"/>
  <c r="O1666" i="1" a="1"/>
  <c r="N1666" i="1"/>
  <c r="M1666" i="1"/>
  <c r="O1665" i="1"/>
  <c r="O1665" i="1" a="1"/>
  <c r="N1665" i="1"/>
  <c r="M1665" i="1"/>
  <c r="O1664" i="1"/>
  <c r="O1664" i="1" a="1"/>
  <c r="N1664" i="1"/>
  <c r="M1664" i="1"/>
  <c r="O1663" i="1"/>
  <c r="O1663" i="1" a="1"/>
  <c r="N1663" i="1"/>
  <c r="M1663" i="1"/>
  <c r="O1662" i="1"/>
  <c r="O1662" i="1" a="1"/>
  <c r="N1662" i="1"/>
  <c r="M1662" i="1"/>
  <c r="O1661" i="1"/>
  <c r="O1661" i="1" a="1"/>
  <c r="N1661" i="1"/>
  <c r="M1661" i="1"/>
  <c r="O1660" i="1"/>
  <c r="O1660" i="1" a="1"/>
  <c r="N1660" i="1"/>
  <c r="M1660" i="1"/>
  <c r="O1659" i="1"/>
  <c r="O1659" i="1" a="1"/>
  <c r="N1659" i="1"/>
  <c r="M1659" i="1"/>
  <c r="O1658" i="1"/>
  <c r="O1658" i="1" a="1"/>
  <c r="N1658" i="1"/>
  <c r="M1658" i="1"/>
  <c r="O1657" i="1"/>
  <c r="O1657" i="1" a="1"/>
  <c r="N1657" i="1"/>
  <c r="M1657" i="1"/>
  <c r="O1656" i="1"/>
  <c r="O1656" i="1" a="1"/>
  <c r="N1656" i="1"/>
  <c r="M1656" i="1"/>
  <c r="O1655" i="1"/>
  <c r="O1655" i="1" a="1"/>
  <c r="N1655" i="1"/>
  <c r="M1655" i="1"/>
  <c r="O1654" i="1"/>
  <c r="O1654" i="1" a="1"/>
  <c r="N1654" i="1"/>
  <c r="M1654" i="1"/>
  <c r="O1653" i="1"/>
  <c r="O1653" i="1" a="1"/>
  <c r="N1653" i="1"/>
  <c r="M1653" i="1"/>
  <c r="O1652" i="1"/>
  <c r="O1652" i="1" a="1"/>
  <c r="N1652" i="1"/>
  <c r="M1652" i="1"/>
  <c r="O1651" i="1"/>
  <c r="O1651" i="1" a="1"/>
  <c r="N1651" i="1"/>
  <c r="M1651" i="1"/>
  <c r="O1650" i="1"/>
  <c r="O1650" i="1" a="1"/>
  <c r="N1650" i="1"/>
  <c r="M1650" i="1"/>
  <c r="O1649" i="1"/>
  <c r="O1649" i="1" a="1"/>
  <c r="N1649" i="1"/>
  <c r="M1649" i="1"/>
  <c r="O1648" i="1"/>
  <c r="O1648" i="1" a="1"/>
  <c r="N1648" i="1"/>
  <c r="M1648" i="1"/>
  <c r="O1647" i="1"/>
  <c r="O1647" i="1" a="1"/>
  <c r="N1647" i="1"/>
  <c r="M1647" i="1"/>
  <c r="O1646" i="1"/>
  <c r="O1646" i="1" a="1"/>
  <c r="N1646" i="1"/>
  <c r="M1646" i="1"/>
  <c r="O1645" i="1"/>
  <c r="O1645" i="1" a="1"/>
  <c r="N1645" i="1"/>
  <c r="M1645" i="1"/>
  <c r="O1644" i="1"/>
  <c r="O1644" i="1" a="1"/>
  <c r="N1644" i="1"/>
  <c r="M1644" i="1"/>
  <c r="O1643" i="1"/>
  <c r="O1643" i="1" a="1"/>
  <c r="N1643" i="1"/>
  <c r="M1643" i="1"/>
  <c r="O1642" i="1"/>
  <c r="O1642" i="1" a="1"/>
  <c r="N1642" i="1"/>
  <c r="M1642" i="1"/>
  <c r="O1641" i="1"/>
  <c r="O1641" i="1" a="1"/>
  <c r="N1641" i="1"/>
  <c r="M1641" i="1"/>
  <c r="O1640" i="1"/>
  <c r="O1640" i="1" a="1"/>
  <c r="N1640" i="1"/>
  <c r="M1640" i="1"/>
  <c r="O1639" i="1"/>
  <c r="O1639" i="1" a="1"/>
  <c r="N1639" i="1"/>
  <c r="M1639" i="1"/>
  <c r="O1638" i="1"/>
  <c r="O1638" i="1" a="1"/>
  <c r="N1638" i="1"/>
  <c r="M1638" i="1"/>
  <c r="O1637" i="1"/>
  <c r="O1637" i="1" a="1"/>
  <c r="N1637" i="1"/>
  <c r="M1637" i="1"/>
  <c r="O1636" i="1"/>
  <c r="O1636" i="1" a="1"/>
  <c r="N1636" i="1"/>
  <c r="M1636" i="1"/>
  <c r="O1635" i="1"/>
  <c r="O1635" i="1" a="1"/>
  <c r="N1635" i="1"/>
  <c r="M1635" i="1"/>
  <c r="O1634" i="1"/>
  <c r="O1634" i="1" a="1"/>
  <c r="N1634" i="1"/>
  <c r="M1634" i="1"/>
  <c r="O1633" i="1"/>
  <c r="O1633" i="1" a="1"/>
  <c r="N1633" i="1"/>
  <c r="M1633" i="1"/>
  <c r="O1632" i="1"/>
  <c r="O1632" i="1" a="1"/>
  <c r="N1632" i="1"/>
  <c r="M1632" i="1"/>
  <c r="O1631" i="1"/>
  <c r="O1631" i="1" a="1"/>
  <c r="N1631" i="1"/>
  <c r="M1631" i="1"/>
  <c r="O1630" i="1"/>
  <c r="O1630" i="1" a="1"/>
  <c r="N1630" i="1"/>
  <c r="M1630" i="1"/>
  <c r="O1629" i="1"/>
  <c r="O1629" i="1" a="1"/>
  <c r="N1629" i="1"/>
  <c r="M1629" i="1"/>
  <c r="O1628" i="1"/>
  <c r="O1628" i="1" a="1"/>
  <c r="N1628" i="1"/>
  <c r="M1628" i="1"/>
  <c r="O1627" i="1"/>
  <c r="O1627" i="1" a="1"/>
  <c r="N1627" i="1"/>
  <c r="M1627" i="1"/>
  <c r="O1626" i="1"/>
  <c r="O1626" i="1" a="1"/>
  <c r="N1626" i="1"/>
  <c r="M1626" i="1"/>
  <c r="O1625" i="1"/>
  <c r="O1625" i="1" a="1"/>
  <c r="N1625" i="1"/>
  <c r="M1625" i="1"/>
  <c r="O1624" i="1"/>
  <c r="O1624" i="1" a="1"/>
  <c r="N1624" i="1"/>
  <c r="M1624" i="1"/>
  <c r="O1623" i="1"/>
  <c r="O1623" i="1" a="1"/>
  <c r="N1623" i="1"/>
  <c r="M1623" i="1"/>
  <c r="O1622" i="1"/>
  <c r="O1622" i="1" a="1"/>
  <c r="N1622" i="1"/>
  <c r="M1622" i="1"/>
  <c r="O1621" i="1"/>
  <c r="O1621" i="1" a="1"/>
  <c r="N1621" i="1"/>
  <c r="M1621" i="1"/>
  <c r="O1620" i="1"/>
  <c r="O1620" i="1" a="1"/>
  <c r="N1620" i="1"/>
  <c r="M1620" i="1"/>
  <c r="O1619" i="1"/>
  <c r="O1619" i="1" a="1"/>
  <c r="N1619" i="1"/>
  <c r="M1619" i="1"/>
  <c r="O1618" i="1"/>
  <c r="O1618" i="1" a="1"/>
  <c r="N1618" i="1"/>
  <c r="M1618" i="1"/>
  <c r="O1617" i="1"/>
  <c r="O1617" i="1" a="1"/>
  <c r="N1617" i="1"/>
  <c r="M1617" i="1"/>
  <c r="O1616" i="1"/>
  <c r="O1616" i="1" a="1"/>
  <c r="N1616" i="1"/>
  <c r="M1616" i="1"/>
  <c r="O1615" i="1"/>
  <c r="O1615" i="1" a="1"/>
  <c r="N1615" i="1"/>
  <c r="M1615" i="1"/>
  <c r="O1614" i="1"/>
  <c r="O1614" i="1" a="1"/>
  <c r="N1614" i="1"/>
  <c r="M1614" i="1"/>
  <c r="O1613" i="1"/>
  <c r="O1613" i="1" a="1"/>
  <c r="N1613" i="1"/>
  <c r="M1613" i="1"/>
  <c r="O1612" i="1"/>
  <c r="O1612" i="1" a="1"/>
  <c r="N1612" i="1"/>
  <c r="M1612" i="1"/>
  <c r="O1611" i="1"/>
  <c r="O1611" i="1" a="1"/>
  <c r="N1611" i="1"/>
  <c r="M1611" i="1"/>
  <c r="O1610" i="1"/>
  <c r="O1610" i="1" a="1"/>
  <c r="N1610" i="1"/>
  <c r="M1610" i="1"/>
  <c r="O1609" i="1"/>
  <c r="O1609" i="1" a="1"/>
  <c r="N1609" i="1"/>
  <c r="M1609" i="1"/>
  <c r="O1608" i="1"/>
  <c r="O1608" i="1" a="1"/>
  <c r="N1608" i="1"/>
  <c r="M1608" i="1"/>
  <c r="O1607" i="1"/>
  <c r="O1607" i="1" a="1"/>
  <c r="N1607" i="1"/>
  <c r="M1607" i="1"/>
  <c r="O1606" i="1"/>
  <c r="O1606" i="1" a="1"/>
  <c r="N1606" i="1"/>
  <c r="M1606" i="1"/>
  <c r="O1605" i="1"/>
  <c r="O1605" i="1" a="1"/>
  <c r="N1605" i="1"/>
  <c r="M1605" i="1"/>
  <c r="O1604" i="1"/>
  <c r="O1604" i="1" a="1"/>
  <c r="N1604" i="1"/>
  <c r="M1604" i="1"/>
  <c r="O1603" i="1"/>
  <c r="O1603" i="1" a="1"/>
  <c r="N1603" i="1"/>
  <c r="M1603" i="1"/>
  <c r="O1602" i="1"/>
  <c r="O1602" i="1" a="1"/>
  <c r="N1602" i="1"/>
  <c r="M1602" i="1"/>
  <c r="O1601" i="1"/>
  <c r="O1601" i="1" a="1"/>
  <c r="N1601" i="1"/>
  <c r="M1601" i="1"/>
  <c r="O1600" i="1"/>
  <c r="O1600" i="1" a="1"/>
  <c r="N1600" i="1"/>
  <c r="M1600" i="1"/>
  <c r="O1599" i="1"/>
  <c r="O1599" i="1" a="1"/>
  <c r="N1599" i="1"/>
  <c r="M1599" i="1"/>
  <c r="O1598" i="1"/>
  <c r="O1598" i="1" a="1"/>
  <c r="N1598" i="1"/>
  <c r="M1598" i="1"/>
  <c r="O1597" i="1"/>
  <c r="O1597" i="1" a="1"/>
  <c r="N1597" i="1"/>
  <c r="M1597" i="1"/>
  <c r="O1596" i="1"/>
  <c r="O1596" i="1" a="1"/>
  <c r="N1596" i="1"/>
  <c r="M1596" i="1"/>
  <c r="O1595" i="1"/>
  <c r="O1595" i="1" a="1"/>
  <c r="N1595" i="1"/>
  <c r="M1595" i="1"/>
  <c r="O1594" i="1"/>
  <c r="O1594" i="1" a="1"/>
  <c r="N1594" i="1"/>
  <c r="M1594" i="1"/>
  <c r="O1593" i="1"/>
  <c r="O1593" i="1" a="1"/>
  <c r="N1593" i="1"/>
  <c r="M1593" i="1"/>
  <c r="O1592" i="1"/>
  <c r="O1592" i="1" a="1"/>
  <c r="N1592" i="1"/>
  <c r="M1592" i="1"/>
  <c r="O1591" i="1"/>
  <c r="O1591" i="1" a="1"/>
  <c r="N1591" i="1"/>
  <c r="M1591" i="1"/>
  <c r="O1590" i="1"/>
  <c r="O1590" i="1" a="1"/>
  <c r="N1590" i="1"/>
  <c r="M1590" i="1"/>
  <c r="O1589" i="1"/>
  <c r="O1589" i="1" a="1"/>
  <c r="N1589" i="1"/>
  <c r="M1589" i="1"/>
  <c r="O1588" i="1"/>
  <c r="O1588" i="1" a="1"/>
  <c r="N1588" i="1"/>
  <c r="M1588" i="1"/>
  <c r="O1587" i="1"/>
  <c r="O1587" i="1" a="1"/>
  <c r="N1587" i="1"/>
  <c r="M1587" i="1"/>
  <c r="O1586" i="1"/>
  <c r="O1586" i="1" a="1"/>
  <c r="N1586" i="1"/>
  <c r="M1586" i="1"/>
  <c r="O1585" i="1"/>
  <c r="O1585" i="1" a="1"/>
  <c r="N1585" i="1"/>
  <c r="M1585" i="1"/>
  <c r="O1584" i="1"/>
  <c r="O1584" i="1" a="1"/>
  <c r="N1584" i="1"/>
  <c r="M1584" i="1"/>
  <c r="O1583" i="1"/>
  <c r="O1583" i="1" a="1"/>
  <c r="N1583" i="1"/>
  <c r="M1583" i="1"/>
  <c r="O1582" i="1"/>
  <c r="O1582" i="1" a="1"/>
  <c r="N1582" i="1"/>
  <c r="M1582" i="1"/>
  <c r="O1581" i="1"/>
  <c r="O1581" i="1" a="1"/>
  <c r="N1581" i="1"/>
  <c r="M1581" i="1"/>
  <c r="O1580" i="1"/>
  <c r="O1580" i="1" a="1"/>
  <c r="N1580" i="1"/>
  <c r="M1580" i="1"/>
  <c r="O1579" i="1"/>
  <c r="O1579" i="1" a="1"/>
  <c r="N1579" i="1"/>
  <c r="M1579" i="1"/>
  <c r="O1578" i="1"/>
  <c r="O1578" i="1" a="1"/>
  <c r="N1578" i="1"/>
  <c r="M1578" i="1"/>
  <c r="O1577" i="1"/>
  <c r="O1577" i="1" a="1"/>
  <c r="N1577" i="1"/>
  <c r="M1577" i="1"/>
  <c r="O1576" i="1"/>
  <c r="O1576" i="1" a="1"/>
  <c r="N1576" i="1"/>
  <c r="M1576" i="1"/>
  <c r="O1575" i="1"/>
  <c r="O1575" i="1" a="1"/>
  <c r="N1575" i="1"/>
  <c r="M1575" i="1"/>
  <c r="O1574" i="1"/>
  <c r="O1574" i="1" a="1"/>
  <c r="N1574" i="1"/>
  <c r="M1574" i="1"/>
  <c r="O1573" i="1"/>
  <c r="O1573" i="1" a="1"/>
  <c r="N1573" i="1"/>
  <c r="M1573" i="1"/>
  <c r="O1572" i="1"/>
  <c r="O1572" i="1" a="1"/>
  <c r="N1572" i="1"/>
  <c r="M1572" i="1"/>
  <c r="O1571" i="1"/>
  <c r="O1571" i="1" a="1"/>
  <c r="N1571" i="1"/>
  <c r="M1571" i="1"/>
  <c r="O1570" i="1"/>
  <c r="O1570" i="1" a="1"/>
  <c r="N1570" i="1"/>
  <c r="M1570" i="1"/>
  <c r="O1569" i="1"/>
  <c r="O1569" i="1" a="1"/>
  <c r="N1569" i="1"/>
  <c r="M1569" i="1"/>
  <c r="O1568" i="1"/>
  <c r="O1568" i="1" a="1"/>
  <c r="N1568" i="1"/>
  <c r="M1568" i="1"/>
  <c r="O1567" i="1"/>
  <c r="O1567" i="1" a="1"/>
  <c r="N1567" i="1"/>
  <c r="M1567" i="1"/>
  <c r="O1566" i="1"/>
  <c r="O1566" i="1" a="1"/>
  <c r="N1566" i="1"/>
  <c r="M1566" i="1"/>
  <c r="O1565" i="1"/>
  <c r="O1565" i="1" a="1"/>
  <c r="N1565" i="1"/>
  <c r="M1565" i="1"/>
  <c r="O1564" i="1"/>
  <c r="O1564" i="1" a="1"/>
  <c r="N1564" i="1"/>
  <c r="M1564" i="1"/>
  <c r="O1563" i="1"/>
  <c r="O1563" i="1" a="1"/>
  <c r="N1563" i="1"/>
  <c r="M1563" i="1"/>
  <c r="O1562" i="1"/>
  <c r="O1562" i="1" a="1"/>
  <c r="N1562" i="1"/>
  <c r="M1562" i="1"/>
  <c r="O1561" i="1"/>
  <c r="O1561" i="1" a="1"/>
  <c r="N1561" i="1"/>
  <c r="M1561" i="1"/>
  <c r="O1560" i="1"/>
  <c r="O1560" i="1" a="1"/>
  <c r="N1560" i="1"/>
  <c r="M1560" i="1"/>
  <c r="O1559" i="1"/>
  <c r="O1559" i="1" a="1"/>
  <c r="N1559" i="1"/>
  <c r="M1559" i="1"/>
  <c r="O1558" i="1"/>
  <c r="O1558" i="1" a="1"/>
  <c r="N1558" i="1"/>
  <c r="M1558" i="1"/>
  <c r="O1557" i="1"/>
  <c r="O1557" i="1" a="1"/>
  <c r="N1557" i="1"/>
  <c r="M1557" i="1"/>
  <c r="O1556" i="1"/>
  <c r="O1556" i="1" a="1"/>
  <c r="N1556" i="1"/>
  <c r="M1556" i="1"/>
  <c r="O1555" i="1"/>
  <c r="O1555" i="1" a="1"/>
  <c r="N1555" i="1"/>
  <c r="M1555" i="1"/>
  <c r="O1554" i="1"/>
  <c r="O1554" i="1" a="1"/>
  <c r="N1554" i="1"/>
  <c r="M1554" i="1"/>
  <c r="O1553" i="1"/>
  <c r="O1553" i="1" a="1"/>
  <c r="N1553" i="1"/>
  <c r="M1553" i="1"/>
  <c r="O1552" i="1"/>
  <c r="O1552" i="1" a="1"/>
  <c r="N1552" i="1"/>
  <c r="M1552" i="1"/>
  <c r="O1551" i="1"/>
  <c r="O1551" i="1" a="1"/>
  <c r="N1551" i="1"/>
  <c r="M1551" i="1"/>
  <c r="O1550" i="1"/>
  <c r="O1550" i="1" a="1"/>
  <c r="N1550" i="1"/>
  <c r="M1550" i="1"/>
  <c r="O1549" i="1"/>
  <c r="O1549" i="1" a="1"/>
  <c r="N1549" i="1"/>
  <c r="M1549" i="1"/>
  <c r="O1548" i="1"/>
  <c r="O1548" i="1" a="1"/>
  <c r="N1548" i="1"/>
  <c r="M1548" i="1"/>
  <c r="O1547" i="1"/>
  <c r="O1547" i="1" a="1"/>
  <c r="N1547" i="1"/>
  <c r="M1547" i="1"/>
  <c r="O1546" i="1"/>
  <c r="O1546" i="1" a="1"/>
  <c r="N1546" i="1"/>
  <c r="M1546" i="1"/>
  <c r="O1545" i="1"/>
  <c r="O1545" i="1" a="1"/>
  <c r="N1545" i="1"/>
  <c r="M1545" i="1"/>
  <c r="O1544" i="1"/>
  <c r="O1544" i="1" a="1"/>
  <c r="N1544" i="1"/>
  <c r="M1544" i="1"/>
  <c r="O1543" i="1"/>
  <c r="O1543" i="1" a="1"/>
  <c r="N1543" i="1"/>
  <c r="M1543" i="1"/>
  <c r="O1542" i="1"/>
  <c r="O1542" i="1" a="1"/>
  <c r="N1542" i="1"/>
  <c r="M1542" i="1"/>
  <c r="O1541" i="1"/>
  <c r="O1541" i="1" a="1"/>
  <c r="N1541" i="1"/>
  <c r="M1541" i="1"/>
  <c r="O1540" i="1"/>
  <c r="O1540" i="1" a="1"/>
  <c r="N1540" i="1"/>
  <c r="M1540" i="1"/>
  <c r="O1539" i="1"/>
  <c r="O1539" i="1" a="1"/>
  <c r="N1539" i="1"/>
  <c r="M1539" i="1"/>
  <c r="O1538" i="1"/>
  <c r="O1538" i="1" a="1"/>
  <c r="N1538" i="1"/>
  <c r="M1538" i="1"/>
  <c r="O1537" i="1"/>
  <c r="O1537" i="1" a="1"/>
  <c r="N1537" i="1"/>
  <c r="M1537" i="1"/>
  <c r="O1536" i="1"/>
  <c r="O1536" i="1" a="1"/>
  <c r="N1536" i="1"/>
  <c r="M1536" i="1"/>
  <c r="O1535" i="1"/>
  <c r="O1535" i="1" a="1"/>
  <c r="N1535" i="1"/>
  <c r="M1535" i="1"/>
  <c r="O1534" i="1"/>
  <c r="O1534" i="1" a="1"/>
  <c r="N1534" i="1"/>
  <c r="M1534" i="1"/>
  <c r="O1533" i="1"/>
  <c r="O1533" i="1" a="1"/>
  <c r="N1533" i="1"/>
  <c r="M1533" i="1"/>
  <c r="O1532" i="1"/>
  <c r="O1532" i="1" a="1"/>
  <c r="N1532" i="1"/>
  <c r="M1532" i="1"/>
  <c r="O1531" i="1"/>
  <c r="O1531" i="1" a="1"/>
  <c r="N1531" i="1"/>
  <c r="M1531" i="1"/>
  <c r="O1530" i="1"/>
  <c r="O1530" i="1" a="1"/>
  <c r="N1530" i="1"/>
  <c r="M1530" i="1"/>
  <c r="O1529" i="1"/>
  <c r="O1529" i="1" a="1"/>
  <c r="N1529" i="1"/>
  <c r="M1529" i="1"/>
  <c r="O1528" i="1"/>
  <c r="O1528" i="1" a="1"/>
  <c r="N1528" i="1"/>
  <c r="M1528" i="1"/>
  <c r="O1527" i="1"/>
  <c r="O1527" i="1" a="1"/>
  <c r="N1527" i="1"/>
  <c r="M1527" i="1"/>
  <c r="O1526" i="1"/>
  <c r="O1526" i="1" a="1"/>
  <c r="N1526" i="1"/>
  <c r="M1526" i="1"/>
  <c r="O1525" i="1"/>
  <c r="O1525" i="1" a="1"/>
  <c r="N1525" i="1"/>
  <c r="M1525" i="1"/>
  <c r="O1524" i="1"/>
  <c r="O1524" i="1" a="1"/>
  <c r="N1524" i="1"/>
  <c r="M1524" i="1"/>
  <c r="O1523" i="1"/>
  <c r="O1523" i="1" a="1"/>
  <c r="N1523" i="1"/>
  <c r="M1523" i="1"/>
  <c r="O1522" i="1"/>
  <c r="O1522" i="1" a="1"/>
  <c r="N1522" i="1"/>
  <c r="M1522" i="1"/>
  <c r="O1521" i="1"/>
  <c r="O1521" i="1" a="1"/>
  <c r="N1521" i="1"/>
  <c r="M1521" i="1"/>
  <c r="O1520" i="1"/>
  <c r="O1520" i="1" a="1"/>
  <c r="N1520" i="1"/>
  <c r="M1520" i="1"/>
  <c r="O1519" i="1"/>
  <c r="O1519" i="1" a="1"/>
  <c r="N1519" i="1"/>
  <c r="M1519" i="1"/>
  <c r="O1518" i="1"/>
  <c r="O1518" i="1" a="1"/>
  <c r="N1518" i="1"/>
  <c r="M1518" i="1"/>
  <c r="O1517" i="1"/>
  <c r="O1517" i="1" a="1"/>
  <c r="N1517" i="1"/>
  <c r="M1517" i="1"/>
  <c r="O1516" i="1"/>
  <c r="O1516" i="1" a="1"/>
  <c r="N1516" i="1"/>
  <c r="M1516" i="1"/>
  <c r="O1515" i="1"/>
  <c r="O1515" i="1" a="1"/>
  <c r="N1515" i="1"/>
  <c r="M1515" i="1"/>
  <c r="O1514" i="1"/>
  <c r="O1514" i="1" a="1"/>
  <c r="N1514" i="1"/>
  <c r="M1514" i="1"/>
  <c r="O1513" i="1"/>
  <c r="O1513" i="1" a="1"/>
  <c r="N1513" i="1"/>
  <c r="M1513" i="1"/>
  <c r="O1512" i="1"/>
  <c r="O1512" i="1" a="1"/>
  <c r="N1512" i="1"/>
  <c r="M1512" i="1"/>
  <c r="O1511" i="1"/>
  <c r="O1511" i="1" a="1"/>
  <c r="N1511" i="1"/>
  <c r="M1511" i="1"/>
  <c r="O1510" i="1"/>
  <c r="O1510" i="1" a="1"/>
  <c r="N1510" i="1"/>
  <c r="M1510" i="1"/>
  <c r="O1509" i="1"/>
  <c r="O1509" i="1" a="1"/>
  <c r="N1509" i="1"/>
  <c r="M1509" i="1"/>
  <c r="O1508" i="1"/>
  <c r="O1508" i="1" a="1"/>
  <c r="N1508" i="1"/>
  <c r="M1508" i="1"/>
  <c r="O1507" i="1"/>
  <c r="O1507" i="1" a="1"/>
  <c r="N1507" i="1"/>
  <c r="M1507" i="1"/>
  <c r="O1506" i="1"/>
  <c r="O1506" i="1" a="1"/>
  <c r="N1506" i="1"/>
  <c r="M1506" i="1"/>
  <c r="O1505" i="1"/>
  <c r="O1505" i="1" a="1"/>
  <c r="N1505" i="1"/>
  <c r="M1505" i="1"/>
  <c r="O1504" i="1"/>
  <c r="O1504" i="1" a="1"/>
  <c r="N1504" i="1"/>
  <c r="M1504" i="1"/>
  <c r="O1503" i="1"/>
  <c r="O1503" i="1" a="1"/>
  <c r="N1503" i="1"/>
  <c r="M1503" i="1"/>
  <c r="O1502" i="1"/>
  <c r="O1502" i="1" a="1"/>
  <c r="N1502" i="1"/>
  <c r="M1502" i="1"/>
  <c r="O1501" i="1"/>
  <c r="O1501" i="1" a="1"/>
  <c r="N1501" i="1"/>
  <c r="M1501" i="1"/>
  <c r="O1500" i="1"/>
  <c r="O1500" i="1" a="1"/>
  <c r="N1500" i="1"/>
  <c r="M1500" i="1"/>
  <c r="O1499" i="1"/>
  <c r="O1499" i="1" a="1"/>
  <c r="N1499" i="1"/>
  <c r="M1499" i="1"/>
  <c r="O1498" i="1"/>
  <c r="O1498" i="1" a="1"/>
  <c r="N1498" i="1"/>
  <c r="M1498" i="1"/>
  <c r="O1497" i="1"/>
  <c r="O1497" i="1" a="1"/>
  <c r="N1497" i="1"/>
  <c r="M1497" i="1"/>
  <c r="O1496" i="1"/>
  <c r="O1496" i="1" a="1"/>
  <c r="N1496" i="1"/>
  <c r="M1496" i="1"/>
  <c r="O1495" i="1"/>
  <c r="O1495" i="1" a="1"/>
  <c r="N1495" i="1"/>
  <c r="M1495" i="1"/>
  <c r="O1494" i="1"/>
  <c r="O1494" i="1" a="1"/>
  <c r="N1494" i="1"/>
  <c r="M1494" i="1"/>
  <c r="O1493" i="1"/>
  <c r="O1493" i="1" a="1"/>
  <c r="N1493" i="1"/>
  <c r="M1493" i="1"/>
  <c r="O1492" i="1"/>
  <c r="O1492" i="1" a="1"/>
  <c r="N1492" i="1"/>
  <c r="M1492" i="1"/>
  <c r="O1491" i="1"/>
  <c r="O1491" i="1" a="1"/>
  <c r="N1491" i="1"/>
  <c r="M1491" i="1"/>
  <c r="O1490" i="1"/>
  <c r="O1490" i="1" a="1"/>
  <c r="N1490" i="1"/>
  <c r="M1490" i="1"/>
  <c r="O1489" i="1"/>
  <c r="O1489" i="1" a="1"/>
  <c r="N1489" i="1"/>
  <c r="M1489" i="1"/>
  <c r="O1488" i="1"/>
  <c r="O1488" i="1" a="1"/>
  <c r="N1488" i="1"/>
  <c r="M1488" i="1"/>
  <c r="O1487" i="1"/>
  <c r="O1487" i="1" a="1"/>
  <c r="N1487" i="1"/>
  <c r="M1487" i="1"/>
  <c r="O1486" i="1"/>
  <c r="O1486" i="1" a="1"/>
  <c r="N1486" i="1"/>
  <c r="M1486" i="1"/>
  <c r="O1485" i="1"/>
  <c r="O1485" i="1" a="1"/>
  <c r="N1485" i="1"/>
  <c r="M1485" i="1"/>
  <c r="O1484" i="1"/>
  <c r="O1484" i="1" a="1"/>
  <c r="N1484" i="1"/>
  <c r="M1484" i="1"/>
  <c r="O1483" i="1"/>
  <c r="O1483" i="1" a="1"/>
  <c r="N1483" i="1"/>
  <c r="M1483" i="1"/>
  <c r="O1482" i="1"/>
  <c r="O1482" i="1" a="1"/>
  <c r="N1482" i="1"/>
  <c r="M1482" i="1"/>
  <c r="O1481" i="1"/>
  <c r="O1481" i="1" a="1"/>
  <c r="N1481" i="1"/>
  <c r="M1481" i="1"/>
  <c r="O1480" i="1"/>
  <c r="O1480" i="1" a="1"/>
  <c r="N1480" i="1"/>
  <c r="M1480" i="1"/>
  <c r="O1479" i="1"/>
  <c r="O1479" i="1" a="1"/>
  <c r="N1479" i="1"/>
  <c r="M1479" i="1"/>
  <c r="O1478" i="1"/>
  <c r="O1478" i="1" a="1"/>
  <c r="N1478" i="1"/>
  <c r="M1478" i="1"/>
  <c r="O1477" i="1"/>
  <c r="O1477" i="1" a="1"/>
  <c r="N1477" i="1"/>
  <c r="M1477" i="1"/>
  <c r="O1476" i="1"/>
  <c r="O1476" i="1" a="1"/>
  <c r="N1476" i="1"/>
  <c r="M1476" i="1"/>
  <c r="O1475" i="1"/>
  <c r="O1475" i="1" a="1"/>
  <c r="N1475" i="1"/>
  <c r="M1475" i="1"/>
  <c r="O1474" i="1"/>
  <c r="O1474" i="1" a="1"/>
  <c r="N1474" i="1"/>
  <c r="M1474" i="1"/>
  <c r="O1473" i="1"/>
  <c r="O1473" i="1" a="1"/>
  <c r="N1473" i="1"/>
  <c r="M1473" i="1"/>
  <c r="O1472" i="1"/>
  <c r="O1472" i="1" a="1"/>
  <c r="N1472" i="1"/>
  <c r="M1472" i="1"/>
  <c r="O1471" i="1"/>
  <c r="O1471" i="1" a="1"/>
  <c r="N1471" i="1"/>
  <c r="M1471" i="1"/>
  <c r="O1470" i="1"/>
  <c r="O1470" i="1" a="1"/>
  <c r="N1470" i="1"/>
  <c r="M1470" i="1"/>
  <c r="O1469" i="1"/>
  <c r="O1469" i="1" a="1"/>
  <c r="N1469" i="1"/>
  <c r="M1469" i="1"/>
  <c r="O1468" i="1"/>
  <c r="O1468" i="1" a="1"/>
  <c r="N1468" i="1"/>
  <c r="M1468" i="1"/>
  <c r="O1467" i="1"/>
  <c r="O1467" i="1" a="1"/>
  <c r="N1467" i="1"/>
  <c r="M1467" i="1"/>
  <c r="O1466" i="1"/>
  <c r="O1466" i="1" a="1"/>
  <c r="N1466" i="1"/>
  <c r="M1466" i="1"/>
  <c r="O1465" i="1"/>
  <c r="O1465" i="1" a="1"/>
  <c r="N1465" i="1"/>
  <c r="M1465" i="1"/>
  <c r="O1464" i="1"/>
  <c r="O1464" i="1" a="1"/>
  <c r="N1464" i="1"/>
  <c r="M1464" i="1"/>
  <c r="O1463" i="1"/>
  <c r="O1463" i="1" a="1"/>
  <c r="N1463" i="1"/>
  <c r="M1463" i="1"/>
  <c r="O1462" i="1"/>
  <c r="O1462" i="1" a="1"/>
  <c r="N1462" i="1"/>
  <c r="M1462" i="1"/>
  <c r="O1461" i="1"/>
  <c r="O1461" i="1" a="1"/>
  <c r="N1461" i="1"/>
  <c r="M1461" i="1"/>
  <c r="O1460" i="1"/>
  <c r="O1460" i="1" a="1"/>
  <c r="N1460" i="1"/>
  <c r="M1460" i="1"/>
  <c r="O1459" i="1"/>
  <c r="O1459" i="1" a="1"/>
  <c r="N1459" i="1"/>
  <c r="M1459" i="1"/>
  <c r="O1458" i="1"/>
  <c r="O1458" i="1" a="1"/>
  <c r="N1458" i="1"/>
  <c r="M1458" i="1"/>
  <c r="O1457" i="1"/>
  <c r="O1457" i="1" a="1"/>
  <c r="N1457" i="1"/>
  <c r="M1457" i="1"/>
  <c r="O1456" i="1"/>
  <c r="O1456" i="1" a="1"/>
  <c r="N1456" i="1"/>
  <c r="M1456" i="1"/>
  <c r="O1455" i="1"/>
  <c r="O1455" i="1" a="1"/>
  <c r="N1455" i="1"/>
  <c r="M1455" i="1"/>
  <c r="O1454" i="1"/>
  <c r="O1454" i="1" a="1"/>
  <c r="N1454" i="1"/>
  <c r="M1454" i="1"/>
  <c r="O1453" i="1"/>
  <c r="O1453" i="1" a="1"/>
  <c r="N1453" i="1"/>
  <c r="M1453" i="1"/>
  <c r="O1452" i="1"/>
  <c r="O1452" i="1" a="1"/>
  <c r="N1452" i="1"/>
  <c r="M1452" i="1"/>
  <c r="O1451" i="1"/>
  <c r="O1451" i="1" a="1"/>
  <c r="N1451" i="1"/>
  <c r="M1451" i="1"/>
  <c r="O1450" i="1"/>
  <c r="O1450" i="1" a="1"/>
  <c r="N1450" i="1"/>
  <c r="M1450" i="1"/>
  <c r="O1449" i="1"/>
  <c r="O1449" i="1" a="1"/>
  <c r="N1449" i="1"/>
  <c r="M1449" i="1"/>
  <c r="O1448" i="1"/>
  <c r="O1448" i="1" a="1"/>
  <c r="N1448" i="1"/>
  <c r="M1448" i="1"/>
  <c r="O1447" i="1"/>
  <c r="O1447" i="1" a="1"/>
  <c r="N1447" i="1"/>
  <c r="M1447" i="1"/>
  <c r="O1446" i="1"/>
  <c r="O1446" i="1" a="1"/>
  <c r="N1446" i="1"/>
  <c r="M1446" i="1"/>
  <c r="O1445" i="1"/>
  <c r="O1445" i="1" a="1"/>
  <c r="N1445" i="1"/>
  <c r="M1445" i="1"/>
  <c r="O1444" i="1"/>
  <c r="O1444" i="1" a="1"/>
  <c r="N1444" i="1"/>
  <c r="M1444" i="1"/>
  <c r="O1443" i="1"/>
  <c r="O1443" i="1" a="1"/>
  <c r="N1443" i="1"/>
  <c r="M1443" i="1"/>
  <c r="O1442" i="1"/>
  <c r="O1442" i="1" a="1"/>
  <c r="N1442" i="1"/>
  <c r="M1442" i="1"/>
  <c r="O1441" i="1"/>
  <c r="O1441" i="1" a="1"/>
  <c r="N1441" i="1"/>
  <c r="M1441" i="1"/>
  <c r="O1440" i="1"/>
  <c r="O1440" i="1" a="1"/>
  <c r="N1440" i="1"/>
  <c r="M1440" i="1"/>
  <c r="O1439" i="1"/>
  <c r="O1439" i="1" a="1"/>
  <c r="N1439" i="1"/>
  <c r="M1439" i="1"/>
  <c r="O1438" i="1"/>
  <c r="O1438" i="1" a="1"/>
  <c r="N1438" i="1"/>
  <c r="M1438" i="1"/>
  <c r="O1437" i="1"/>
  <c r="O1437" i="1" a="1"/>
  <c r="N1437" i="1"/>
  <c r="M1437" i="1"/>
  <c r="O1436" i="1"/>
  <c r="O1436" i="1" a="1"/>
  <c r="N1436" i="1"/>
  <c r="M1436" i="1"/>
  <c r="O1435" i="1"/>
  <c r="O1435" i="1" a="1"/>
  <c r="N1435" i="1"/>
  <c r="M1435" i="1"/>
  <c r="O1434" i="1"/>
  <c r="O1434" i="1" a="1"/>
  <c r="N1434" i="1"/>
  <c r="M1434" i="1"/>
  <c r="O1433" i="1"/>
  <c r="O1433" i="1" a="1"/>
  <c r="N1433" i="1"/>
  <c r="M1433" i="1"/>
  <c r="O1432" i="1"/>
  <c r="O1432" i="1" a="1"/>
  <c r="N1432" i="1"/>
  <c r="M1432" i="1"/>
  <c r="O1431" i="1"/>
  <c r="O1431" i="1" a="1"/>
  <c r="N1431" i="1"/>
  <c r="M1431" i="1"/>
  <c r="O1430" i="1"/>
  <c r="O1430" i="1" a="1"/>
  <c r="N1430" i="1"/>
  <c r="M1430" i="1"/>
  <c r="O1429" i="1"/>
  <c r="O1429" i="1" a="1"/>
  <c r="N1429" i="1"/>
  <c r="M1429" i="1"/>
  <c r="O1428" i="1"/>
  <c r="O1428" i="1" a="1"/>
  <c r="N1428" i="1"/>
  <c r="M1428" i="1"/>
  <c r="O1427" i="1"/>
  <c r="O1427" i="1" a="1"/>
  <c r="N1427" i="1"/>
  <c r="M1427" i="1"/>
  <c r="O1426" i="1"/>
  <c r="O1426" i="1" a="1"/>
  <c r="N1426" i="1"/>
  <c r="M1426" i="1"/>
  <c r="O1425" i="1"/>
  <c r="O1425" i="1" a="1"/>
  <c r="N1425" i="1"/>
  <c r="M1425" i="1"/>
  <c r="O1424" i="1"/>
  <c r="O1424" i="1" a="1"/>
  <c r="N1424" i="1"/>
  <c r="M1424" i="1"/>
  <c r="O1423" i="1"/>
  <c r="O1423" i="1" a="1"/>
  <c r="N1423" i="1"/>
  <c r="M1423" i="1"/>
  <c r="O1422" i="1"/>
  <c r="O1422" i="1" a="1"/>
  <c r="N1422" i="1"/>
  <c r="M1422" i="1"/>
  <c r="O1421" i="1"/>
  <c r="O1421" i="1" a="1"/>
  <c r="N1421" i="1"/>
  <c r="M1421" i="1"/>
  <c r="O1420" i="1"/>
  <c r="O1420" i="1" a="1"/>
  <c r="N1420" i="1"/>
  <c r="M1420" i="1"/>
  <c r="O1419" i="1"/>
  <c r="O1419" i="1" a="1"/>
  <c r="N1419" i="1"/>
  <c r="M1419" i="1"/>
  <c r="O1418" i="1"/>
  <c r="O1418" i="1" a="1"/>
  <c r="N1418" i="1"/>
  <c r="M1418" i="1"/>
  <c r="O1417" i="1"/>
  <c r="O1417" i="1" a="1"/>
  <c r="N1417" i="1"/>
  <c r="M1417" i="1"/>
  <c r="O1416" i="1"/>
  <c r="O1416" i="1" a="1"/>
  <c r="N1416" i="1"/>
  <c r="M1416" i="1"/>
  <c r="O1415" i="1"/>
  <c r="O1415" i="1" a="1"/>
  <c r="N1415" i="1"/>
  <c r="M1415" i="1"/>
  <c r="O1414" i="1"/>
  <c r="O1414" i="1" a="1"/>
  <c r="N1414" i="1"/>
  <c r="M1414" i="1"/>
  <c r="O1413" i="1"/>
  <c r="O1413" i="1" a="1"/>
  <c r="N1413" i="1"/>
  <c r="M1413" i="1"/>
  <c r="O1412" i="1"/>
  <c r="O1412" i="1" a="1"/>
  <c r="N1412" i="1"/>
  <c r="M1412" i="1"/>
  <c r="O1411" i="1"/>
  <c r="O1411" i="1" a="1"/>
  <c r="N1411" i="1"/>
  <c r="M1411" i="1"/>
  <c r="O1410" i="1"/>
  <c r="O1410" i="1" a="1"/>
  <c r="N1410" i="1"/>
  <c r="M1410" i="1"/>
  <c r="O1409" i="1"/>
  <c r="O1409" i="1" a="1"/>
  <c r="N1409" i="1"/>
  <c r="M1409" i="1"/>
  <c r="O1408" i="1"/>
  <c r="O1408" i="1" a="1"/>
  <c r="N1408" i="1"/>
  <c r="M1408" i="1"/>
  <c r="O1407" i="1"/>
  <c r="O1407" i="1" a="1"/>
  <c r="N1407" i="1"/>
  <c r="M1407" i="1"/>
  <c r="O1406" i="1"/>
  <c r="O1406" i="1" a="1"/>
  <c r="N1406" i="1"/>
  <c r="M1406" i="1"/>
  <c r="O1405" i="1"/>
  <c r="O1405" i="1" a="1"/>
  <c r="N1405" i="1"/>
  <c r="M1405" i="1"/>
  <c r="O1404" i="1"/>
  <c r="O1404" i="1" a="1"/>
  <c r="N1404" i="1"/>
  <c r="M1404" i="1"/>
  <c r="O1403" i="1"/>
  <c r="O1403" i="1" a="1"/>
  <c r="N1403" i="1"/>
  <c r="M1403" i="1"/>
  <c r="O1402" i="1"/>
  <c r="O1402" i="1" a="1"/>
  <c r="N1402" i="1"/>
  <c r="M1402" i="1"/>
  <c r="O1401" i="1"/>
  <c r="O1401" i="1" a="1"/>
  <c r="N1401" i="1"/>
  <c r="M1401" i="1"/>
  <c r="O1400" i="1"/>
  <c r="O1400" i="1" a="1"/>
  <c r="N1400" i="1"/>
  <c r="M1400" i="1"/>
  <c r="O1399" i="1"/>
  <c r="O1399" i="1" a="1"/>
  <c r="N1399" i="1"/>
  <c r="M1399" i="1"/>
  <c r="O1398" i="1"/>
  <c r="O1398" i="1" a="1"/>
  <c r="N1398" i="1"/>
  <c r="M1398" i="1"/>
  <c r="O1397" i="1"/>
  <c r="O1397" i="1" a="1"/>
  <c r="N1397" i="1"/>
  <c r="M1397" i="1"/>
  <c r="O1396" i="1"/>
  <c r="O1396" i="1" a="1"/>
  <c r="N1396" i="1"/>
  <c r="M1396" i="1"/>
  <c r="O1395" i="1"/>
  <c r="O1395" i="1" a="1"/>
  <c r="N1395" i="1"/>
  <c r="M1395" i="1"/>
  <c r="O1394" i="1"/>
  <c r="O1394" i="1" a="1"/>
  <c r="N1394" i="1"/>
  <c r="M1394" i="1"/>
  <c r="O1393" i="1"/>
  <c r="O1393" i="1" a="1"/>
  <c r="N1393" i="1"/>
  <c r="M1393" i="1"/>
  <c r="O1392" i="1"/>
  <c r="O1392" i="1" a="1"/>
  <c r="N1392" i="1"/>
  <c r="M1392" i="1"/>
  <c r="O1391" i="1"/>
  <c r="O1391" i="1" a="1"/>
  <c r="N1391" i="1"/>
  <c r="M1391" i="1"/>
  <c r="O1390" i="1"/>
  <c r="O1390" i="1" a="1"/>
  <c r="N1390" i="1"/>
  <c r="M1390" i="1"/>
  <c r="O1389" i="1"/>
  <c r="O1389" i="1" a="1"/>
  <c r="N1389" i="1"/>
  <c r="M1389" i="1"/>
  <c r="O1388" i="1"/>
  <c r="O1388" i="1" a="1"/>
  <c r="N1388" i="1"/>
  <c r="M1388" i="1"/>
  <c r="O1387" i="1"/>
  <c r="O1387" i="1" a="1"/>
  <c r="N1387" i="1"/>
  <c r="M1387" i="1"/>
  <c r="O1386" i="1"/>
  <c r="O1386" i="1" a="1"/>
  <c r="N1386" i="1"/>
  <c r="M1386" i="1"/>
  <c r="O1385" i="1"/>
  <c r="O1385" i="1" a="1"/>
  <c r="N1385" i="1"/>
  <c r="M1385" i="1"/>
  <c r="O1384" i="1"/>
  <c r="O1384" i="1" a="1"/>
  <c r="N1384" i="1"/>
  <c r="M1384" i="1"/>
  <c r="O1383" i="1"/>
  <c r="O1383" i="1" a="1"/>
  <c r="N1383" i="1"/>
  <c r="M1383" i="1"/>
  <c r="O1382" i="1"/>
  <c r="O1382" i="1" a="1"/>
  <c r="N1382" i="1"/>
  <c r="M1382" i="1"/>
  <c r="O1381" i="1"/>
  <c r="O1381" i="1" a="1"/>
  <c r="N1381" i="1"/>
  <c r="M1381" i="1"/>
  <c r="O1380" i="1"/>
  <c r="O1380" i="1" a="1"/>
  <c r="N1380" i="1"/>
  <c r="M1380" i="1"/>
  <c r="O1379" i="1"/>
  <c r="O1379" i="1" a="1"/>
  <c r="N1379" i="1"/>
  <c r="M1379" i="1"/>
  <c r="O1378" i="1"/>
  <c r="O1378" i="1" a="1"/>
  <c r="N1378" i="1"/>
  <c r="M1378" i="1"/>
  <c r="O1377" i="1"/>
  <c r="O1377" i="1" a="1"/>
  <c r="N1377" i="1"/>
  <c r="M1377" i="1"/>
  <c r="O1376" i="1"/>
  <c r="O1376" i="1" a="1"/>
  <c r="N1376" i="1"/>
  <c r="M1376" i="1"/>
  <c r="O1375" i="1"/>
  <c r="O1375" i="1" a="1"/>
  <c r="N1375" i="1"/>
  <c r="M1375" i="1"/>
  <c r="O1374" i="1"/>
  <c r="O1374" i="1" a="1"/>
  <c r="N1374" i="1"/>
  <c r="M1374" i="1"/>
  <c r="O1373" i="1"/>
  <c r="O1373" i="1" a="1"/>
  <c r="N1373" i="1"/>
  <c r="M1373" i="1"/>
  <c r="O1372" i="1"/>
  <c r="O1372" i="1" a="1"/>
  <c r="N1372" i="1"/>
  <c r="M1372" i="1"/>
  <c r="O1371" i="1"/>
  <c r="O1371" i="1" a="1"/>
  <c r="N1371" i="1"/>
  <c r="M1371" i="1"/>
  <c r="O1370" i="1"/>
  <c r="O1370" i="1" a="1"/>
  <c r="N1370" i="1"/>
  <c r="M1370" i="1"/>
  <c r="O1369" i="1"/>
  <c r="O1369" i="1" a="1"/>
  <c r="N1369" i="1"/>
  <c r="M1369" i="1"/>
  <c r="O1368" i="1"/>
  <c r="O1368" i="1" a="1"/>
  <c r="N1368" i="1"/>
  <c r="M1368" i="1"/>
  <c r="O1367" i="1"/>
  <c r="O1367" i="1" a="1"/>
  <c r="N1367" i="1"/>
  <c r="M1367" i="1"/>
  <c r="O1366" i="1"/>
  <c r="O1366" i="1" a="1"/>
  <c r="N1366" i="1"/>
  <c r="M1366" i="1"/>
  <c r="O1365" i="1"/>
  <c r="O1365" i="1" a="1"/>
  <c r="N1365" i="1"/>
  <c r="M1365" i="1"/>
  <c r="O1364" i="1"/>
  <c r="O1364" i="1" a="1"/>
  <c r="N1364" i="1"/>
  <c r="M1364" i="1"/>
  <c r="O1363" i="1"/>
  <c r="O1363" i="1" a="1"/>
  <c r="N1363" i="1"/>
  <c r="M1363" i="1"/>
  <c r="O1362" i="1"/>
  <c r="O1362" i="1" a="1"/>
  <c r="N1362" i="1"/>
  <c r="M1362" i="1"/>
  <c r="O1361" i="1"/>
  <c r="O1361" i="1" a="1"/>
  <c r="N1361" i="1"/>
  <c r="M1361" i="1"/>
  <c r="O1360" i="1"/>
  <c r="O1360" i="1" a="1"/>
  <c r="N1360" i="1"/>
  <c r="M1360" i="1"/>
  <c r="O1359" i="1"/>
  <c r="O1359" i="1" a="1"/>
  <c r="N1359" i="1"/>
  <c r="M1359" i="1"/>
  <c r="O1358" i="1"/>
  <c r="O1358" i="1" a="1"/>
  <c r="N1358" i="1"/>
  <c r="M1358" i="1"/>
  <c r="O1357" i="1"/>
  <c r="O1357" i="1" a="1"/>
  <c r="N1357" i="1"/>
  <c r="M1357" i="1"/>
  <c r="O1356" i="1"/>
  <c r="O1356" i="1" a="1"/>
  <c r="N1356" i="1"/>
  <c r="M1356" i="1"/>
  <c r="O1355" i="1"/>
  <c r="O1355" i="1" a="1"/>
  <c r="N1355" i="1"/>
  <c r="M1355" i="1"/>
  <c r="O1354" i="1"/>
  <c r="O1354" i="1" a="1"/>
  <c r="N1354" i="1"/>
  <c r="M1354" i="1"/>
  <c r="O1353" i="1"/>
  <c r="O1353" i="1" a="1"/>
  <c r="N1353" i="1"/>
  <c r="M1353" i="1"/>
  <c r="O1352" i="1"/>
  <c r="O1352" i="1" a="1"/>
  <c r="N1352" i="1"/>
  <c r="M1352" i="1"/>
  <c r="O1351" i="1"/>
  <c r="O1351" i="1" a="1"/>
  <c r="N1351" i="1"/>
  <c r="M1351" i="1"/>
  <c r="O1350" i="1"/>
  <c r="O1350" i="1" a="1"/>
  <c r="N1350" i="1"/>
  <c r="M1350" i="1"/>
  <c r="O1349" i="1"/>
  <c r="O1349" i="1" a="1"/>
  <c r="N1349" i="1"/>
  <c r="M1349" i="1"/>
  <c r="O1348" i="1"/>
  <c r="O1348" i="1" a="1"/>
  <c r="N1348" i="1"/>
  <c r="M1348" i="1"/>
  <c r="O1347" i="1"/>
  <c r="O1347" i="1" a="1"/>
  <c r="N1347" i="1"/>
  <c r="M1347" i="1"/>
  <c r="O1346" i="1"/>
  <c r="O1346" i="1" a="1"/>
  <c r="N1346" i="1"/>
  <c r="M1346" i="1"/>
  <c r="O1345" i="1"/>
  <c r="O1345" i="1" a="1"/>
  <c r="N1345" i="1"/>
  <c r="M1345" i="1"/>
  <c r="O1344" i="1"/>
  <c r="O1344" i="1" a="1"/>
  <c r="N1344" i="1"/>
  <c r="M1344" i="1"/>
  <c r="O1343" i="1"/>
  <c r="O1343" i="1" a="1"/>
  <c r="N1343" i="1"/>
  <c r="M1343" i="1"/>
  <c r="O1342" i="1"/>
  <c r="O1342" i="1" a="1"/>
  <c r="N1342" i="1"/>
  <c r="M1342" i="1"/>
  <c r="O1341" i="1"/>
  <c r="O1341" i="1" a="1"/>
  <c r="N1341" i="1"/>
  <c r="M1341" i="1"/>
  <c r="O1340" i="1"/>
  <c r="O1340" i="1" a="1"/>
  <c r="N1340" i="1"/>
  <c r="M1340" i="1"/>
  <c r="O1339" i="1"/>
  <c r="O1339" i="1" a="1"/>
  <c r="N1339" i="1"/>
  <c r="M1339" i="1"/>
  <c r="O1338" i="1"/>
  <c r="O1338" i="1" a="1"/>
  <c r="N1338" i="1"/>
  <c r="M1338" i="1"/>
  <c r="O1337" i="1"/>
  <c r="O1337" i="1" a="1"/>
  <c r="N1337" i="1"/>
  <c r="M1337" i="1"/>
  <c r="O1336" i="1"/>
  <c r="O1336" i="1" a="1"/>
  <c r="N1336" i="1"/>
  <c r="M1336" i="1"/>
  <c r="O1335" i="1"/>
  <c r="O1335" i="1" a="1"/>
  <c r="N1335" i="1"/>
  <c r="M1335" i="1"/>
  <c r="O1334" i="1"/>
  <c r="O1334" i="1" a="1"/>
  <c r="N1334" i="1"/>
  <c r="M1334" i="1"/>
  <c r="O1333" i="1"/>
  <c r="O1333" i="1" a="1"/>
  <c r="N1333" i="1"/>
  <c r="M1333" i="1"/>
  <c r="O1332" i="1"/>
  <c r="O1332" i="1" a="1"/>
  <c r="N1332" i="1"/>
  <c r="M1332" i="1"/>
  <c r="O1331" i="1"/>
  <c r="O1331" i="1" a="1"/>
  <c r="N1331" i="1"/>
  <c r="M1331" i="1"/>
  <c r="O1330" i="1"/>
  <c r="O1330" i="1" a="1"/>
  <c r="N1330" i="1"/>
  <c r="M1330" i="1"/>
  <c r="O1329" i="1"/>
  <c r="O1329" i="1" a="1"/>
  <c r="N1329" i="1"/>
  <c r="M1329" i="1"/>
  <c r="O1328" i="1"/>
  <c r="O1328" i="1" a="1"/>
  <c r="N1328" i="1"/>
  <c r="M1328" i="1"/>
  <c r="O1327" i="1"/>
  <c r="O1327" i="1" a="1"/>
  <c r="N1327" i="1"/>
  <c r="M1327" i="1"/>
  <c r="O1326" i="1"/>
  <c r="O1326" i="1" a="1"/>
  <c r="N1326" i="1"/>
  <c r="M1326" i="1"/>
  <c r="O1325" i="1"/>
  <c r="O1325" i="1" a="1"/>
  <c r="N1325" i="1"/>
  <c r="M1325" i="1"/>
  <c r="O1324" i="1"/>
  <c r="O1324" i="1" a="1"/>
  <c r="N1324" i="1"/>
  <c r="M1324" i="1"/>
  <c r="O1323" i="1"/>
  <c r="O1323" i="1" a="1"/>
  <c r="N1323" i="1"/>
  <c r="M1323" i="1"/>
  <c r="O1322" i="1"/>
  <c r="O1322" i="1" a="1"/>
  <c r="N1322" i="1"/>
  <c r="M1322" i="1"/>
  <c r="O1321" i="1"/>
  <c r="O1321" i="1" a="1"/>
  <c r="N1321" i="1"/>
  <c r="M1321" i="1"/>
  <c r="O1320" i="1"/>
  <c r="O1320" i="1" a="1"/>
  <c r="N1320" i="1"/>
  <c r="M1320" i="1"/>
  <c r="O1319" i="1"/>
  <c r="O1319" i="1" a="1"/>
  <c r="N1319" i="1"/>
  <c r="M1319" i="1"/>
  <c r="O1318" i="1"/>
  <c r="O1318" i="1" a="1"/>
  <c r="N1318" i="1"/>
  <c r="M1318" i="1"/>
  <c r="O1317" i="1"/>
  <c r="O1317" i="1" a="1"/>
  <c r="N1317" i="1"/>
  <c r="M1317" i="1"/>
  <c r="O1316" i="1"/>
  <c r="O1316" i="1" a="1"/>
  <c r="N1316" i="1"/>
  <c r="M1316" i="1"/>
  <c r="O1315" i="1"/>
  <c r="O1315" i="1" a="1"/>
  <c r="N1315" i="1"/>
  <c r="M1315" i="1"/>
  <c r="O1314" i="1"/>
  <c r="O1314" i="1" a="1"/>
  <c r="N1314" i="1"/>
  <c r="M1314" i="1"/>
  <c r="O1313" i="1"/>
  <c r="O1313" i="1" a="1"/>
  <c r="N1313" i="1"/>
  <c r="M1313" i="1"/>
  <c r="O1312" i="1"/>
  <c r="O1312" i="1" a="1"/>
  <c r="N1312" i="1"/>
  <c r="M1312" i="1"/>
  <c r="O1311" i="1"/>
  <c r="O1311" i="1" a="1"/>
  <c r="N1311" i="1"/>
  <c r="M1311" i="1"/>
  <c r="O1310" i="1"/>
  <c r="O1310" i="1" a="1"/>
  <c r="N1310" i="1"/>
  <c r="M1310" i="1"/>
  <c r="O1309" i="1"/>
  <c r="O1309" i="1" a="1"/>
  <c r="N1309" i="1"/>
  <c r="M1309" i="1"/>
  <c r="O1308" i="1"/>
  <c r="O1308" i="1" a="1"/>
  <c r="N1308" i="1"/>
  <c r="M1308" i="1"/>
  <c r="O1307" i="1"/>
  <c r="O1307" i="1" a="1"/>
  <c r="N1307" i="1"/>
  <c r="M1307" i="1"/>
  <c r="O1306" i="1"/>
  <c r="O1306" i="1" a="1"/>
  <c r="N1306" i="1"/>
  <c r="M1306" i="1"/>
  <c r="O1305" i="1"/>
  <c r="O1305" i="1" a="1"/>
  <c r="N1305" i="1"/>
  <c r="M1305" i="1"/>
  <c r="O1304" i="1"/>
  <c r="O1304" i="1" a="1"/>
  <c r="N1304" i="1"/>
  <c r="M1304" i="1"/>
  <c r="O1303" i="1"/>
  <c r="O1303" i="1" a="1"/>
  <c r="N1303" i="1"/>
  <c r="M1303" i="1"/>
  <c r="O1302" i="1"/>
  <c r="O1302" i="1" a="1"/>
  <c r="N1302" i="1"/>
  <c r="M1302" i="1"/>
  <c r="O1301" i="1"/>
  <c r="O1301" i="1" a="1"/>
  <c r="N1301" i="1"/>
  <c r="M1301" i="1"/>
  <c r="O1300" i="1"/>
  <c r="O1300" i="1" a="1"/>
  <c r="N1300" i="1"/>
  <c r="M1300" i="1"/>
  <c r="O1299" i="1"/>
  <c r="O1299" i="1" a="1"/>
  <c r="N1299" i="1"/>
  <c r="M1299" i="1"/>
  <c r="O1298" i="1"/>
  <c r="O1298" i="1" a="1"/>
  <c r="N1298" i="1"/>
  <c r="M1298" i="1"/>
  <c r="O1297" i="1"/>
  <c r="O1297" i="1" a="1"/>
  <c r="N1297" i="1"/>
  <c r="M1297" i="1"/>
  <c r="O1296" i="1"/>
  <c r="O1296" i="1" a="1"/>
  <c r="N1296" i="1"/>
  <c r="M1296" i="1"/>
  <c r="O1295" i="1"/>
  <c r="O1295" i="1" a="1"/>
  <c r="N1295" i="1"/>
  <c r="M1295" i="1"/>
  <c r="O1294" i="1"/>
  <c r="O1294" i="1" a="1"/>
  <c r="N1294" i="1"/>
  <c r="M1294" i="1"/>
  <c r="O1293" i="1"/>
  <c r="O1293" i="1" a="1"/>
  <c r="N1293" i="1"/>
  <c r="M1293" i="1"/>
  <c r="O1292" i="1"/>
  <c r="O1292" i="1" a="1"/>
  <c r="N1292" i="1"/>
  <c r="M1292" i="1"/>
  <c r="O1291" i="1"/>
  <c r="O1291" i="1" a="1"/>
  <c r="N1291" i="1"/>
  <c r="M1291" i="1"/>
  <c r="O1290" i="1"/>
  <c r="O1290" i="1" a="1"/>
  <c r="N1290" i="1"/>
  <c r="M1290" i="1"/>
  <c r="O1289" i="1"/>
  <c r="O1289" i="1" a="1"/>
  <c r="N1289" i="1"/>
  <c r="M1289" i="1"/>
  <c r="O1288" i="1"/>
  <c r="O1288" i="1" a="1"/>
  <c r="N1288" i="1"/>
  <c r="M1288" i="1"/>
  <c r="O1287" i="1"/>
  <c r="O1287" i="1" a="1"/>
  <c r="N1287" i="1"/>
  <c r="M1287" i="1"/>
  <c r="O1286" i="1"/>
  <c r="O1286" i="1" a="1"/>
  <c r="N1286" i="1"/>
  <c r="M1286" i="1"/>
  <c r="O1285" i="1"/>
  <c r="O1285" i="1" a="1"/>
  <c r="N1285" i="1"/>
  <c r="M1285" i="1"/>
  <c r="O1284" i="1"/>
  <c r="O1284" i="1" a="1"/>
  <c r="N1284" i="1"/>
  <c r="M1284" i="1"/>
  <c r="O1283" i="1"/>
  <c r="O1283" i="1" a="1"/>
  <c r="N1283" i="1"/>
  <c r="M1283" i="1"/>
  <c r="O1282" i="1"/>
  <c r="O1282" i="1" a="1"/>
  <c r="N1282" i="1"/>
  <c r="M1282" i="1"/>
  <c r="O1281" i="1"/>
  <c r="O1281" i="1" a="1"/>
  <c r="N1281" i="1"/>
  <c r="M1281" i="1"/>
  <c r="O1280" i="1"/>
  <c r="O1280" i="1" a="1"/>
  <c r="N1280" i="1"/>
  <c r="M1280" i="1"/>
  <c r="O1279" i="1"/>
  <c r="O1279" i="1" a="1"/>
  <c r="N1279" i="1"/>
  <c r="M1279" i="1"/>
  <c r="O1278" i="1"/>
  <c r="O1278" i="1" a="1"/>
  <c r="N1278" i="1"/>
  <c r="M1278" i="1"/>
  <c r="O1277" i="1"/>
  <c r="O1277" i="1" a="1"/>
  <c r="N1277" i="1"/>
  <c r="M1277" i="1"/>
  <c r="O1276" i="1"/>
  <c r="O1276" i="1" a="1"/>
  <c r="N1276" i="1"/>
  <c r="M1276" i="1"/>
  <c r="O1275" i="1"/>
  <c r="O1275" i="1" a="1"/>
  <c r="N1275" i="1"/>
  <c r="M1275" i="1"/>
  <c r="O1274" i="1"/>
  <c r="O1274" i="1" a="1"/>
  <c r="N1274" i="1"/>
  <c r="M1274" i="1"/>
  <c r="O1273" i="1"/>
  <c r="O1273" i="1" a="1"/>
  <c r="N1273" i="1"/>
  <c r="M1273" i="1"/>
  <c r="O1272" i="1"/>
  <c r="O1272" i="1" a="1"/>
  <c r="N1272" i="1"/>
  <c r="M1272" i="1"/>
  <c r="O1271" i="1"/>
  <c r="O1271" i="1" a="1"/>
  <c r="N1271" i="1"/>
  <c r="M1271" i="1"/>
  <c r="O1270" i="1"/>
  <c r="O1270" i="1" a="1"/>
  <c r="N1270" i="1"/>
  <c r="M1270" i="1"/>
  <c r="O1269" i="1"/>
  <c r="O1269" i="1" a="1"/>
  <c r="N1269" i="1"/>
  <c r="M1269" i="1"/>
  <c r="O1268" i="1"/>
  <c r="O1268" i="1" a="1"/>
  <c r="N1268" i="1"/>
  <c r="M1268" i="1"/>
  <c r="O1267" i="1"/>
  <c r="O1267" i="1" a="1"/>
  <c r="N1267" i="1"/>
  <c r="M1267" i="1"/>
  <c r="O1266" i="1"/>
  <c r="O1266" i="1" a="1"/>
  <c r="N1266" i="1"/>
  <c r="M1266" i="1"/>
  <c r="O1265" i="1"/>
  <c r="O1265" i="1" a="1"/>
  <c r="N1265" i="1"/>
  <c r="M1265" i="1"/>
  <c r="O1264" i="1"/>
  <c r="O1264" i="1" a="1"/>
  <c r="N1264" i="1"/>
  <c r="M1264" i="1"/>
  <c r="O1263" i="1"/>
  <c r="O1263" i="1" a="1"/>
  <c r="N1263" i="1"/>
  <c r="M1263" i="1"/>
  <c r="O1262" i="1"/>
  <c r="O1262" i="1" a="1"/>
  <c r="N1262" i="1"/>
  <c r="M1262" i="1"/>
  <c r="O1261" i="1"/>
  <c r="O1261" i="1" a="1"/>
  <c r="N1261" i="1"/>
  <c r="M1261" i="1"/>
  <c r="O1260" i="1"/>
  <c r="O1260" i="1" a="1"/>
  <c r="N1260" i="1"/>
  <c r="M1260" i="1"/>
  <c r="O1259" i="1"/>
  <c r="O1259" i="1" a="1"/>
  <c r="N1259" i="1"/>
  <c r="M1259" i="1"/>
  <c r="O1258" i="1"/>
  <c r="O1258" i="1" a="1"/>
  <c r="N1258" i="1"/>
  <c r="M1258" i="1"/>
  <c r="O1257" i="1"/>
  <c r="O1257" i="1" a="1"/>
  <c r="N1257" i="1"/>
  <c r="M1257" i="1"/>
  <c r="O1256" i="1"/>
  <c r="O1256" i="1" a="1"/>
  <c r="N1256" i="1"/>
  <c r="M1256" i="1"/>
  <c r="O1255" i="1"/>
  <c r="O1255" i="1" a="1"/>
  <c r="N1255" i="1"/>
  <c r="M1255" i="1"/>
  <c r="O1254" i="1"/>
  <c r="O1254" i="1" a="1"/>
  <c r="N1254" i="1"/>
  <c r="M1254" i="1"/>
  <c r="O1253" i="1"/>
  <c r="O1253" i="1" a="1"/>
  <c r="N1253" i="1"/>
  <c r="M1253" i="1"/>
  <c r="O1252" i="1"/>
  <c r="O1252" i="1" a="1"/>
  <c r="N1252" i="1"/>
  <c r="M1252" i="1"/>
  <c r="O1251" i="1"/>
  <c r="O1251" i="1" a="1"/>
  <c r="N1251" i="1"/>
  <c r="M1251" i="1"/>
  <c r="O1250" i="1"/>
  <c r="O1250" i="1" a="1"/>
  <c r="N1250" i="1"/>
  <c r="M1250" i="1"/>
  <c r="O1249" i="1"/>
  <c r="O1249" i="1" a="1"/>
  <c r="N1249" i="1"/>
  <c r="M1249" i="1"/>
  <c r="O1248" i="1"/>
  <c r="O1248" i="1" a="1"/>
  <c r="N1248" i="1"/>
  <c r="M1248" i="1"/>
  <c r="O1247" i="1"/>
  <c r="O1247" i="1" a="1"/>
  <c r="N1247" i="1"/>
  <c r="M1247" i="1"/>
  <c r="O1246" i="1"/>
  <c r="O1246" i="1" a="1"/>
  <c r="N1246" i="1"/>
  <c r="M1246" i="1"/>
  <c r="O1245" i="1"/>
  <c r="O1245" i="1" a="1"/>
  <c r="N1245" i="1"/>
  <c r="M1245" i="1"/>
  <c r="O1244" i="1"/>
  <c r="O1244" i="1" a="1"/>
  <c r="N1244" i="1"/>
  <c r="M1244" i="1"/>
  <c r="O1243" i="1"/>
  <c r="O1243" i="1" a="1"/>
  <c r="N1243" i="1"/>
  <c r="M1243" i="1"/>
  <c r="O1242" i="1"/>
  <c r="O1242" i="1" a="1"/>
  <c r="N1242" i="1"/>
  <c r="M1242" i="1"/>
  <c r="O1241" i="1"/>
  <c r="O1241" i="1" a="1"/>
  <c r="N1241" i="1"/>
  <c r="M1241" i="1"/>
  <c r="O1240" i="1"/>
  <c r="O1240" i="1" a="1"/>
  <c r="N1240" i="1"/>
  <c r="M1240" i="1"/>
  <c r="O1239" i="1"/>
  <c r="O1239" i="1" a="1"/>
  <c r="N1239" i="1"/>
  <c r="M1239" i="1"/>
  <c r="O1238" i="1"/>
  <c r="O1238" i="1" a="1"/>
  <c r="N1238" i="1"/>
  <c r="M1238" i="1"/>
  <c r="O1237" i="1"/>
  <c r="O1237" i="1" a="1"/>
  <c r="N1237" i="1"/>
  <c r="M1237" i="1"/>
  <c r="O1236" i="1"/>
  <c r="O1236" i="1" a="1"/>
  <c r="N1236" i="1"/>
  <c r="M1236" i="1"/>
  <c r="O1235" i="1"/>
  <c r="O1235" i="1" a="1"/>
  <c r="N1235" i="1"/>
  <c r="M1235" i="1"/>
  <c r="O1234" i="1"/>
  <c r="O1234" i="1" a="1"/>
  <c r="N1234" i="1"/>
  <c r="M1234" i="1"/>
  <c r="O1233" i="1"/>
  <c r="O1233" i="1" a="1"/>
  <c r="N1233" i="1"/>
  <c r="M1233" i="1"/>
  <c r="O1232" i="1"/>
  <c r="O1232" i="1" a="1"/>
  <c r="N1232" i="1"/>
  <c r="M1232" i="1"/>
  <c r="O1231" i="1"/>
  <c r="O1231" i="1" a="1"/>
  <c r="N1231" i="1"/>
  <c r="M1231" i="1"/>
  <c r="O1230" i="1"/>
  <c r="O1230" i="1" a="1"/>
  <c r="N1230" i="1"/>
  <c r="M1230" i="1"/>
  <c r="O1229" i="1"/>
  <c r="O1229" i="1" a="1"/>
  <c r="N1229" i="1"/>
  <c r="M1229" i="1"/>
  <c r="O1228" i="1"/>
  <c r="O1228" i="1" a="1"/>
  <c r="N1228" i="1"/>
  <c r="M1228" i="1"/>
  <c r="O1227" i="1"/>
  <c r="O1227" i="1" a="1"/>
  <c r="N1227" i="1"/>
  <c r="M1227" i="1"/>
  <c r="O1226" i="1"/>
  <c r="O1226" i="1" a="1"/>
  <c r="N1226" i="1"/>
  <c r="M1226" i="1"/>
  <c r="O1225" i="1"/>
  <c r="O1225" i="1" a="1"/>
  <c r="N1225" i="1"/>
  <c r="M1225" i="1"/>
  <c r="O1224" i="1"/>
  <c r="O1224" i="1" a="1"/>
  <c r="N1224" i="1"/>
  <c r="M1224" i="1"/>
  <c r="O1223" i="1"/>
  <c r="O1223" i="1" a="1"/>
  <c r="N1223" i="1"/>
  <c r="M1223" i="1"/>
  <c r="O1222" i="1"/>
  <c r="O1222" i="1" a="1"/>
  <c r="N1222" i="1"/>
  <c r="M1222" i="1"/>
  <c r="O1221" i="1"/>
  <c r="O1221" i="1" a="1"/>
  <c r="N1221" i="1"/>
  <c r="M1221" i="1"/>
  <c r="O1220" i="1"/>
  <c r="O1220" i="1" a="1"/>
  <c r="N1220" i="1"/>
  <c r="M1220" i="1"/>
  <c r="O1219" i="1"/>
  <c r="O1219" i="1" a="1"/>
  <c r="N1219" i="1"/>
  <c r="M1219" i="1"/>
  <c r="O1218" i="1"/>
  <c r="O1218" i="1" a="1"/>
  <c r="N1218" i="1"/>
  <c r="M1218" i="1"/>
  <c r="O1217" i="1"/>
  <c r="O1217" i="1" a="1"/>
  <c r="N1217" i="1"/>
  <c r="M1217" i="1"/>
  <c r="O1216" i="1"/>
  <c r="O1216" i="1" a="1"/>
  <c r="N1216" i="1"/>
  <c r="M1216" i="1"/>
  <c r="O1215" i="1"/>
  <c r="O1215" i="1" a="1"/>
  <c r="N1215" i="1"/>
  <c r="M1215" i="1"/>
  <c r="O1214" i="1"/>
  <c r="O1214" i="1" a="1"/>
  <c r="N1214" i="1"/>
  <c r="M1214" i="1"/>
  <c r="O1213" i="1"/>
  <c r="O1213" i="1" a="1"/>
  <c r="N1213" i="1"/>
  <c r="M1213" i="1"/>
  <c r="O1212" i="1"/>
  <c r="O1212" i="1" a="1"/>
  <c r="N1212" i="1"/>
  <c r="M1212" i="1"/>
  <c r="O1211" i="1"/>
  <c r="O1211" i="1" a="1"/>
  <c r="N1211" i="1"/>
  <c r="M1211" i="1"/>
  <c r="O1210" i="1"/>
  <c r="O1210" i="1" a="1"/>
  <c r="N1210" i="1"/>
  <c r="M1210" i="1"/>
  <c r="O1209" i="1"/>
  <c r="O1209" i="1" a="1"/>
  <c r="N1209" i="1"/>
  <c r="M1209" i="1"/>
  <c r="O1208" i="1"/>
  <c r="O1208" i="1" a="1"/>
  <c r="N1208" i="1"/>
  <c r="M1208" i="1"/>
  <c r="O1207" i="1"/>
  <c r="O1207" i="1" a="1"/>
  <c r="N1207" i="1"/>
  <c r="M1207" i="1"/>
  <c r="O1206" i="1"/>
  <c r="O1206" i="1" a="1"/>
  <c r="N1206" i="1"/>
  <c r="M1206" i="1"/>
  <c r="O1205" i="1"/>
  <c r="O1205" i="1" a="1"/>
  <c r="N1205" i="1"/>
  <c r="M1205" i="1"/>
  <c r="O1204" i="1"/>
  <c r="O1204" i="1" a="1"/>
  <c r="N1204" i="1"/>
  <c r="M1204" i="1"/>
  <c r="O1203" i="1"/>
  <c r="O1203" i="1" a="1"/>
  <c r="N1203" i="1"/>
  <c r="M1203" i="1"/>
  <c r="O1202" i="1"/>
  <c r="O1202" i="1" a="1"/>
  <c r="N1202" i="1"/>
  <c r="M1202" i="1"/>
  <c r="O1201" i="1"/>
  <c r="O1201" i="1" a="1"/>
  <c r="N1201" i="1"/>
  <c r="M1201" i="1"/>
  <c r="O1200" i="1"/>
  <c r="O1200" i="1" a="1"/>
  <c r="N1200" i="1"/>
  <c r="M1200" i="1"/>
  <c r="O1199" i="1"/>
  <c r="O1199" i="1" a="1"/>
  <c r="N1199" i="1"/>
  <c r="M1199" i="1"/>
  <c r="O1198" i="1"/>
  <c r="O1198" i="1" a="1"/>
  <c r="N1198" i="1"/>
  <c r="M1198" i="1"/>
  <c r="O1197" i="1"/>
  <c r="O1197" i="1" a="1"/>
  <c r="N1197" i="1"/>
  <c r="M1197" i="1"/>
  <c r="O1196" i="1"/>
  <c r="O1196" i="1" a="1"/>
  <c r="N1196" i="1"/>
  <c r="M1196" i="1"/>
  <c r="O1195" i="1"/>
  <c r="O1195" i="1" a="1"/>
  <c r="N1195" i="1"/>
  <c r="M1195" i="1"/>
  <c r="O1194" i="1"/>
  <c r="O1194" i="1" a="1"/>
  <c r="N1194" i="1"/>
  <c r="M1194" i="1"/>
  <c r="O1193" i="1"/>
  <c r="O1193" i="1" a="1"/>
  <c r="N1193" i="1"/>
  <c r="M1193" i="1"/>
  <c r="O1192" i="1"/>
  <c r="O1192" i="1" a="1"/>
  <c r="N1192" i="1"/>
  <c r="M1192" i="1"/>
  <c r="O1191" i="1"/>
  <c r="O1191" i="1" a="1"/>
  <c r="N1191" i="1"/>
  <c r="M1191" i="1"/>
  <c r="O1190" i="1"/>
  <c r="O1190" i="1" a="1"/>
  <c r="N1190" i="1"/>
  <c r="M1190" i="1"/>
  <c r="O1189" i="1"/>
  <c r="O1189" i="1" a="1"/>
  <c r="N1189" i="1"/>
  <c r="M1189" i="1"/>
  <c r="O1188" i="1"/>
  <c r="O1188" i="1" a="1"/>
  <c r="N1188" i="1"/>
  <c r="M1188" i="1"/>
  <c r="O1187" i="1"/>
  <c r="O1187" i="1" a="1"/>
  <c r="N1187" i="1"/>
  <c r="M1187" i="1"/>
  <c r="O1186" i="1"/>
  <c r="O1186" i="1" a="1"/>
  <c r="N1186" i="1"/>
  <c r="M1186" i="1"/>
  <c r="O1185" i="1"/>
  <c r="O1185" i="1" a="1"/>
  <c r="N1185" i="1"/>
  <c r="M1185" i="1"/>
  <c r="O1184" i="1"/>
  <c r="O1184" i="1" a="1"/>
  <c r="N1184" i="1"/>
  <c r="M1184" i="1"/>
  <c r="O1183" i="1"/>
  <c r="O1183" i="1" a="1"/>
  <c r="N1183" i="1"/>
  <c r="M1183" i="1"/>
  <c r="O1182" i="1"/>
  <c r="O1182" i="1" a="1"/>
  <c r="N1182" i="1"/>
  <c r="M1182" i="1"/>
  <c r="O1181" i="1"/>
  <c r="O1181" i="1" a="1"/>
  <c r="N1181" i="1"/>
  <c r="M1181" i="1"/>
  <c r="O1180" i="1"/>
  <c r="O1180" i="1" a="1"/>
  <c r="N1180" i="1"/>
  <c r="M1180" i="1"/>
  <c r="O1179" i="1"/>
  <c r="O1179" i="1" a="1"/>
  <c r="N1179" i="1"/>
  <c r="M1179" i="1"/>
  <c r="O1178" i="1"/>
  <c r="O1178" i="1" a="1"/>
  <c r="N1178" i="1"/>
  <c r="M1178" i="1"/>
  <c r="O1177" i="1"/>
  <c r="O1177" i="1" a="1"/>
  <c r="N1177" i="1"/>
  <c r="M1177" i="1"/>
  <c r="O1176" i="1"/>
  <c r="O1176" i="1" a="1"/>
  <c r="N1176" i="1"/>
  <c r="M1176" i="1"/>
  <c r="O1175" i="1"/>
  <c r="O1175" i="1" a="1"/>
  <c r="N1175" i="1"/>
  <c r="M1175" i="1"/>
  <c r="O1174" i="1"/>
  <c r="O1174" i="1" a="1"/>
  <c r="N1174" i="1"/>
  <c r="M1174" i="1"/>
  <c r="O1173" i="1"/>
  <c r="O1173" i="1" a="1"/>
  <c r="N1173" i="1"/>
  <c r="M1173" i="1"/>
  <c r="O1172" i="1"/>
  <c r="O1172" i="1" a="1"/>
  <c r="N1172" i="1"/>
  <c r="M1172" i="1"/>
  <c r="O1171" i="1"/>
  <c r="O1171" i="1" a="1"/>
  <c r="N1171" i="1"/>
  <c r="M1171" i="1"/>
  <c r="O1170" i="1"/>
  <c r="O1170" i="1" a="1"/>
  <c r="N1170" i="1"/>
  <c r="M1170" i="1"/>
  <c r="O1169" i="1"/>
  <c r="O1169" i="1" a="1"/>
  <c r="N1169" i="1"/>
  <c r="M1169" i="1"/>
  <c r="O1168" i="1"/>
  <c r="O1168" i="1" a="1"/>
  <c r="N1168" i="1"/>
  <c r="M1168" i="1"/>
  <c r="O1167" i="1"/>
  <c r="O1167" i="1" a="1"/>
  <c r="N1167" i="1"/>
  <c r="M1167" i="1"/>
  <c r="O1166" i="1"/>
  <c r="O1166" i="1" a="1"/>
  <c r="N1166" i="1"/>
  <c r="M1166" i="1"/>
  <c r="O1165" i="1"/>
  <c r="O1165" i="1" a="1"/>
  <c r="N1165" i="1"/>
  <c r="M1165" i="1"/>
  <c r="O1164" i="1"/>
  <c r="O1164" i="1" a="1"/>
  <c r="N1164" i="1"/>
  <c r="M1164" i="1"/>
  <c r="O1163" i="1"/>
  <c r="O1163" i="1" a="1"/>
  <c r="N1163" i="1"/>
  <c r="M1163" i="1"/>
  <c r="O1162" i="1"/>
  <c r="O1162" i="1" a="1"/>
  <c r="N1162" i="1"/>
  <c r="M1162" i="1"/>
  <c r="O1161" i="1"/>
  <c r="O1161" i="1" a="1"/>
  <c r="N1161" i="1"/>
  <c r="M1161" i="1"/>
  <c r="O1160" i="1"/>
  <c r="O1160" i="1" a="1"/>
  <c r="N1160" i="1"/>
  <c r="M1160" i="1"/>
  <c r="O1159" i="1"/>
  <c r="O1159" i="1" a="1"/>
  <c r="N1159" i="1"/>
  <c r="M1159" i="1"/>
  <c r="O1158" i="1"/>
  <c r="O1158" i="1" a="1"/>
  <c r="N1158" i="1"/>
  <c r="M1158" i="1"/>
  <c r="O1157" i="1"/>
  <c r="O1157" i="1" a="1"/>
  <c r="N1157" i="1"/>
  <c r="M1157" i="1"/>
  <c r="O1156" i="1"/>
  <c r="O1156" i="1" a="1"/>
  <c r="N1156" i="1"/>
  <c r="M1156" i="1"/>
  <c r="O1155" i="1"/>
  <c r="O1155" i="1" a="1"/>
  <c r="N1155" i="1"/>
  <c r="M1155" i="1"/>
  <c r="O1154" i="1"/>
  <c r="O1154" i="1" a="1"/>
  <c r="N1154" i="1"/>
  <c r="M1154" i="1"/>
  <c r="O1153" i="1"/>
  <c r="O1153" i="1" a="1"/>
  <c r="N1153" i="1"/>
  <c r="M1153" i="1"/>
  <c r="O1152" i="1"/>
  <c r="O1152" i="1" a="1"/>
  <c r="N1152" i="1"/>
  <c r="M1152" i="1"/>
  <c r="O1151" i="1"/>
  <c r="O1151" i="1" a="1"/>
  <c r="N1151" i="1"/>
  <c r="M1151" i="1"/>
  <c r="O1150" i="1"/>
  <c r="O1150" i="1" a="1"/>
  <c r="N1150" i="1"/>
  <c r="M1150" i="1"/>
  <c r="O1149" i="1"/>
  <c r="O1149" i="1" a="1"/>
  <c r="N1149" i="1"/>
  <c r="M1149" i="1"/>
  <c r="O1148" i="1"/>
  <c r="O1148" i="1" a="1"/>
  <c r="N1148" i="1"/>
  <c r="M1148" i="1"/>
  <c r="O1147" i="1"/>
  <c r="O1147" i="1" a="1"/>
  <c r="N1147" i="1"/>
  <c r="M1147" i="1"/>
  <c r="O1146" i="1"/>
  <c r="O1146" i="1" a="1"/>
  <c r="N1146" i="1"/>
  <c r="M1146" i="1"/>
  <c r="O1145" i="1"/>
  <c r="O1145" i="1" a="1"/>
  <c r="N1145" i="1"/>
  <c r="M1145" i="1"/>
  <c r="O1144" i="1"/>
  <c r="O1144" i="1" a="1"/>
  <c r="N1144" i="1"/>
  <c r="M1144" i="1"/>
  <c r="O1143" i="1"/>
  <c r="O1143" i="1" a="1"/>
  <c r="N1143" i="1"/>
  <c r="M1143" i="1"/>
  <c r="O1142" i="1"/>
  <c r="O1142" i="1" a="1"/>
  <c r="N1142" i="1"/>
  <c r="M1142" i="1"/>
  <c r="O1141" i="1"/>
  <c r="O1141" i="1" a="1"/>
  <c r="N1141" i="1"/>
  <c r="M1141" i="1"/>
  <c r="O1140" i="1"/>
  <c r="O1140" i="1" a="1"/>
  <c r="N1140" i="1"/>
  <c r="M1140" i="1"/>
  <c r="O1139" i="1"/>
  <c r="O1139" i="1" a="1"/>
  <c r="N1139" i="1"/>
  <c r="M1139" i="1"/>
  <c r="O1138" i="1"/>
  <c r="O1138" i="1" a="1"/>
  <c r="N1138" i="1"/>
  <c r="M1138" i="1"/>
  <c r="O1137" i="1"/>
  <c r="O1137" i="1" a="1"/>
  <c r="N1137" i="1"/>
  <c r="M1137" i="1"/>
  <c r="O1136" i="1"/>
  <c r="O1136" i="1" a="1"/>
  <c r="N1136" i="1"/>
  <c r="M1136" i="1"/>
  <c r="O1135" i="1"/>
  <c r="O1135" i="1" a="1"/>
  <c r="N1135" i="1"/>
  <c r="M1135" i="1"/>
  <c r="O1134" i="1"/>
  <c r="O1134" i="1" a="1"/>
  <c r="N1134" i="1"/>
  <c r="M1134" i="1"/>
  <c r="O1133" i="1"/>
  <c r="O1133" i="1" a="1"/>
  <c r="N1133" i="1"/>
  <c r="M1133" i="1"/>
  <c r="O1132" i="1"/>
  <c r="O1132" i="1" a="1"/>
  <c r="N1132" i="1"/>
  <c r="M1132" i="1"/>
  <c r="O1131" i="1"/>
  <c r="O1131" i="1" a="1"/>
  <c r="N1131" i="1"/>
  <c r="M1131" i="1"/>
  <c r="O1130" i="1"/>
  <c r="O1130" i="1" a="1"/>
  <c r="N1130" i="1"/>
  <c r="M1130" i="1"/>
  <c r="O1129" i="1"/>
  <c r="O1129" i="1" a="1"/>
  <c r="N1129" i="1"/>
  <c r="M1129" i="1"/>
  <c r="O1128" i="1"/>
  <c r="O1128" i="1" a="1"/>
  <c r="N1128" i="1"/>
  <c r="M1128" i="1"/>
  <c r="O1127" i="1"/>
  <c r="O1127" i="1" a="1"/>
  <c r="N1127" i="1"/>
  <c r="M1127" i="1"/>
  <c r="O1126" i="1"/>
  <c r="O1126" i="1" a="1"/>
  <c r="N1126" i="1"/>
  <c r="M1126" i="1"/>
  <c r="O1125" i="1"/>
  <c r="O1125" i="1" a="1"/>
  <c r="N1125" i="1"/>
  <c r="M1125" i="1"/>
  <c r="O1124" i="1"/>
  <c r="O1124" i="1" a="1"/>
  <c r="N1124" i="1"/>
  <c r="M1124" i="1"/>
  <c r="O1123" i="1"/>
  <c r="O1123" i="1" a="1"/>
  <c r="N1123" i="1"/>
  <c r="M1123" i="1"/>
  <c r="O1122" i="1"/>
  <c r="O1122" i="1" a="1"/>
  <c r="N1122" i="1"/>
  <c r="M1122" i="1"/>
  <c r="O1121" i="1"/>
  <c r="O1121" i="1" a="1"/>
  <c r="N1121" i="1"/>
  <c r="M1121" i="1"/>
  <c r="O1120" i="1"/>
  <c r="O1120" i="1" a="1"/>
  <c r="N1120" i="1"/>
  <c r="M1120" i="1"/>
  <c r="O1119" i="1"/>
  <c r="O1119" i="1" a="1"/>
  <c r="N1119" i="1"/>
  <c r="M1119" i="1"/>
  <c r="O1118" i="1"/>
  <c r="O1118" i="1" a="1"/>
  <c r="N1118" i="1"/>
  <c r="M1118" i="1"/>
  <c r="O1117" i="1"/>
  <c r="O1117" i="1" a="1"/>
  <c r="N1117" i="1"/>
  <c r="M1117" i="1"/>
  <c r="O1116" i="1"/>
  <c r="O1116" i="1" a="1"/>
  <c r="N1116" i="1"/>
  <c r="M1116" i="1"/>
  <c r="O1115" i="1"/>
  <c r="O1115" i="1" a="1"/>
  <c r="N1115" i="1"/>
  <c r="M1115" i="1"/>
  <c r="O1114" i="1"/>
  <c r="O1114" i="1" a="1"/>
  <c r="N1114" i="1"/>
  <c r="M1114" i="1"/>
  <c r="O1113" i="1"/>
  <c r="O1113" i="1" a="1"/>
  <c r="N1113" i="1"/>
  <c r="M1113" i="1"/>
  <c r="O1112" i="1"/>
  <c r="O1112" i="1" a="1"/>
  <c r="N1112" i="1"/>
  <c r="M1112" i="1"/>
  <c r="O1111" i="1"/>
  <c r="O1111" i="1" a="1"/>
  <c r="N1111" i="1"/>
  <c r="M1111" i="1"/>
  <c r="O1110" i="1"/>
  <c r="O1110" i="1" a="1"/>
  <c r="N1110" i="1"/>
  <c r="M1110" i="1"/>
  <c r="O1109" i="1"/>
  <c r="O1109" i="1" a="1"/>
  <c r="N1109" i="1"/>
  <c r="M1109" i="1"/>
  <c r="O1108" i="1"/>
  <c r="O1108" i="1" a="1"/>
  <c r="N1108" i="1"/>
  <c r="M1108" i="1"/>
  <c r="O1107" i="1"/>
  <c r="O1107" i="1" a="1"/>
  <c r="N1107" i="1"/>
  <c r="M1107" i="1"/>
  <c r="O1106" i="1"/>
  <c r="O1106" i="1" a="1"/>
  <c r="N1106" i="1"/>
  <c r="M1106" i="1"/>
  <c r="O1105" i="1"/>
  <c r="O1105" i="1" a="1"/>
  <c r="N1105" i="1"/>
  <c r="M1105" i="1"/>
  <c r="O1104" i="1"/>
  <c r="O1104" i="1" a="1"/>
  <c r="N1104" i="1"/>
  <c r="M1104" i="1"/>
  <c r="O1103" i="1"/>
  <c r="O1103" i="1" a="1"/>
  <c r="N1103" i="1"/>
  <c r="M1103" i="1"/>
  <c r="O1102" i="1"/>
  <c r="O1102" i="1" a="1"/>
  <c r="N1102" i="1"/>
  <c r="M1102" i="1"/>
  <c r="O1101" i="1"/>
  <c r="O1101" i="1" a="1"/>
  <c r="N1101" i="1"/>
  <c r="M1101" i="1"/>
  <c r="O1100" i="1"/>
  <c r="O1100" i="1" a="1"/>
  <c r="N1100" i="1"/>
  <c r="M1100" i="1"/>
  <c r="O1099" i="1"/>
  <c r="O1099" i="1" a="1"/>
  <c r="N1099" i="1"/>
  <c r="M1099" i="1"/>
  <c r="O1098" i="1"/>
  <c r="O1098" i="1" a="1"/>
  <c r="N1098" i="1"/>
  <c r="M1098" i="1"/>
  <c r="O1097" i="1"/>
  <c r="O1097" i="1" a="1"/>
  <c r="N1097" i="1"/>
  <c r="M1097" i="1"/>
  <c r="O1096" i="1"/>
  <c r="O1096" i="1" a="1"/>
  <c r="N1096" i="1"/>
  <c r="M1096" i="1"/>
  <c r="O1095" i="1"/>
  <c r="O1095" i="1" a="1"/>
  <c r="N1095" i="1"/>
  <c r="M1095" i="1"/>
  <c r="O1094" i="1"/>
  <c r="O1094" i="1" a="1"/>
  <c r="N1094" i="1"/>
  <c r="M1094" i="1"/>
  <c r="O1093" i="1"/>
  <c r="O1093" i="1" a="1"/>
  <c r="N1093" i="1"/>
  <c r="M1093" i="1"/>
  <c r="O1092" i="1"/>
  <c r="O1092" i="1" a="1"/>
  <c r="N1092" i="1"/>
  <c r="M1092" i="1"/>
  <c r="O1091" i="1"/>
  <c r="O1091" i="1" a="1"/>
  <c r="N1091" i="1"/>
  <c r="M1091" i="1"/>
  <c r="O1090" i="1"/>
  <c r="O1090" i="1" a="1"/>
  <c r="N1090" i="1"/>
  <c r="M1090" i="1"/>
  <c r="O1089" i="1"/>
  <c r="O1089" i="1" a="1"/>
  <c r="N1089" i="1"/>
  <c r="M1089" i="1"/>
  <c r="O1088" i="1"/>
  <c r="O1088" i="1" a="1"/>
  <c r="N1088" i="1"/>
  <c r="M1088" i="1"/>
  <c r="O1087" i="1"/>
  <c r="O1087" i="1" a="1"/>
  <c r="N1087" i="1"/>
  <c r="M1087" i="1"/>
  <c r="O1086" i="1"/>
  <c r="O1086" i="1" a="1"/>
  <c r="N1086" i="1"/>
  <c r="M1086" i="1"/>
  <c r="O1085" i="1"/>
  <c r="O1085" i="1" a="1"/>
  <c r="N1085" i="1"/>
  <c r="M1085" i="1"/>
  <c r="O1084" i="1"/>
  <c r="O1084" i="1" a="1"/>
  <c r="N1084" i="1"/>
  <c r="M1084" i="1"/>
  <c r="O1083" i="1"/>
  <c r="O1083" i="1" a="1"/>
  <c r="N1083" i="1"/>
  <c r="M1083" i="1"/>
  <c r="O1082" i="1"/>
  <c r="O1082" i="1" a="1"/>
  <c r="N1082" i="1"/>
  <c r="M1082" i="1"/>
  <c r="O1081" i="1"/>
  <c r="O1081" i="1" a="1"/>
  <c r="N1081" i="1"/>
  <c r="M1081" i="1"/>
  <c r="O1080" i="1"/>
  <c r="O1080" i="1" a="1"/>
  <c r="N1080" i="1"/>
  <c r="M1080" i="1"/>
  <c r="O1079" i="1"/>
  <c r="O1079" i="1" a="1"/>
  <c r="N1079" i="1"/>
  <c r="M1079" i="1"/>
  <c r="O1078" i="1"/>
  <c r="O1078" i="1" a="1"/>
  <c r="N1078" i="1"/>
  <c r="M1078" i="1"/>
  <c r="O1077" i="1"/>
  <c r="O1077" i="1" a="1"/>
  <c r="N1077" i="1"/>
  <c r="M1077" i="1"/>
  <c r="O1076" i="1"/>
  <c r="O1076" i="1" a="1"/>
  <c r="N1076" i="1"/>
  <c r="M1076" i="1"/>
  <c r="O1075" i="1"/>
  <c r="O1075" i="1" a="1"/>
  <c r="N1075" i="1"/>
  <c r="M1075" i="1"/>
  <c r="O1074" i="1"/>
  <c r="O1074" i="1" a="1"/>
  <c r="N1074" i="1"/>
  <c r="M1074" i="1"/>
  <c r="O1073" i="1"/>
  <c r="O1073" i="1" a="1"/>
  <c r="N1073" i="1"/>
  <c r="M1073" i="1"/>
  <c r="O1072" i="1"/>
  <c r="O1072" i="1" a="1"/>
  <c r="N1072" i="1"/>
  <c r="M1072" i="1"/>
  <c r="O1071" i="1"/>
  <c r="O1071" i="1" a="1"/>
  <c r="N1071" i="1"/>
  <c r="M1071" i="1"/>
  <c r="O1070" i="1"/>
  <c r="O1070" i="1" a="1"/>
  <c r="N1070" i="1"/>
  <c r="M1070" i="1"/>
  <c r="O1069" i="1"/>
  <c r="O1069" i="1" a="1"/>
  <c r="N1069" i="1"/>
  <c r="M1069" i="1"/>
  <c r="O1068" i="1"/>
  <c r="O1068" i="1" a="1"/>
  <c r="N1068" i="1"/>
  <c r="M1068" i="1"/>
  <c r="O1067" i="1"/>
  <c r="O1067" i="1" a="1"/>
  <c r="N1067" i="1"/>
  <c r="M1067" i="1"/>
  <c r="O1066" i="1"/>
  <c r="O1066" i="1" a="1"/>
  <c r="N1066" i="1"/>
  <c r="M1066" i="1"/>
  <c r="O1065" i="1"/>
  <c r="O1065" i="1" a="1"/>
  <c r="N1065" i="1"/>
  <c r="M1065" i="1"/>
  <c r="O1064" i="1"/>
  <c r="O1064" i="1" a="1"/>
  <c r="N1064" i="1"/>
  <c r="M1064" i="1"/>
  <c r="O1063" i="1"/>
  <c r="O1063" i="1" a="1"/>
  <c r="N1063" i="1"/>
  <c r="M1063" i="1"/>
  <c r="O1062" i="1"/>
  <c r="O1062" i="1" a="1"/>
  <c r="N1062" i="1"/>
  <c r="M1062" i="1"/>
  <c r="O1061" i="1"/>
  <c r="O1061" i="1" a="1"/>
  <c r="N1061" i="1"/>
  <c r="M1061" i="1"/>
  <c r="O1060" i="1"/>
  <c r="O1060" i="1" a="1"/>
  <c r="N1060" i="1"/>
  <c r="M1060" i="1"/>
  <c r="O1059" i="1"/>
  <c r="O1059" i="1" a="1"/>
  <c r="N1059" i="1"/>
  <c r="M1059" i="1"/>
  <c r="O1058" i="1"/>
  <c r="O1058" i="1" a="1"/>
  <c r="N1058" i="1"/>
  <c r="M1058" i="1"/>
  <c r="O1057" i="1"/>
  <c r="O1057" i="1" a="1"/>
  <c r="N1057" i="1"/>
  <c r="M1057" i="1"/>
  <c r="O1056" i="1"/>
  <c r="O1056" i="1" a="1"/>
  <c r="N1056" i="1"/>
  <c r="M1056" i="1"/>
  <c r="O1055" i="1"/>
  <c r="O1055" i="1" a="1"/>
  <c r="N1055" i="1"/>
  <c r="M1055" i="1"/>
  <c r="O1054" i="1"/>
  <c r="O1054" i="1" a="1"/>
  <c r="N1054" i="1"/>
  <c r="M1054" i="1"/>
  <c r="O1053" i="1"/>
  <c r="O1053" i="1" a="1"/>
  <c r="N1053" i="1"/>
  <c r="M1053" i="1"/>
  <c r="O1052" i="1"/>
  <c r="O1052" i="1" a="1"/>
  <c r="N1052" i="1"/>
  <c r="M1052" i="1"/>
  <c r="O1051" i="1"/>
  <c r="O1051" i="1" a="1"/>
  <c r="N1051" i="1"/>
  <c r="M1051" i="1"/>
  <c r="O1050" i="1"/>
  <c r="O1050" i="1" a="1"/>
  <c r="N1050" i="1"/>
  <c r="M1050" i="1"/>
  <c r="O1049" i="1"/>
  <c r="O1049" i="1" a="1"/>
  <c r="N1049" i="1"/>
  <c r="M1049" i="1"/>
  <c r="O1048" i="1"/>
  <c r="O1048" i="1" a="1"/>
  <c r="N1048" i="1"/>
  <c r="M1048" i="1"/>
  <c r="O1047" i="1"/>
  <c r="O1047" i="1" a="1"/>
  <c r="N1047" i="1"/>
  <c r="M1047" i="1"/>
  <c r="O1046" i="1"/>
  <c r="O1046" i="1" a="1"/>
  <c r="N1046" i="1"/>
  <c r="M1046" i="1"/>
  <c r="O1045" i="1"/>
  <c r="O1045" i="1" a="1"/>
  <c r="N1045" i="1"/>
  <c r="M1045" i="1"/>
  <c r="O1044" i="1"/>
  <c r="O1044" i="1" a="1"/>
  <c r="N1044" i="1"/>
  <c r="M1044" i="1"/>
  <c r="O1043" i="1"/>
  <c r="O1043" i="1" a="1"/>
  <c r="N1043" i="1"/>
  <c r="M1043" i="1"/>
  <c r="O1042" i="1"/>
  <c r="O1042" i="1" a="1"/>
  <c r="N1042" i="1"/>
  <c r="M1042" i="1"/>
  <c r="O1041" i="1"/>
  <c r="O1041" i="1" a="1"/>
  <c r="N1041" i="1"/>
  <c r="M1041" i="1"/>
  <c r="O1040" i="1"/>
  <c r="O1040" i="1" a="1"/>
  <c r="N1040" i="1"/>
  <c r="M1040" i="1"/>
  <c r="O1039" i="1"/>
  <c r="O1039" i="1" a="1"/>
  <c r="N1039" i="1"/>
  <c r="M1039" i="1"/>
  <c r="O1038" i="1"/>
  <c r="O1038" i="1" a="1"/>
  <c r="N1038" i="1"/>
  <c r="M1038" i="1"/>
  <c r="O1037" i="1"/>
  <c r="O1037" i="1" a="1"/>
  <c r="N1037" i="1"/>
  <c r="M1037" i="1"/>
  <c r="O1036" i="1"/>
  <c r="O1036" i="1" a="1"/>
  <c r="N1036" i="1"/>
  <c r="M1036" i="1"/>
  <c r="O1035" i="1"/>
  <c r="O1035" i="1" a="1"/>
  <c r="N1035" i="1"/>
  <c r="M1035" i="1"/>
  <c r="O1034" i="1"/>
  <c r="O1034" i="1" a="1"/>
  <c r="N1034" i="1"/>
  <c r="M1034" i="1"/>
  <c r="O1033" i="1"/>
  <c r="O1033" i="1" a="1"/>
  <c r="N1033" i="1"/>
  <c r="M1033" i="1"/>
  <c r="O1032" i="1"/>
  <c r="O1032" i="1" a="1"/>
  <c r="N1032" i="1"/>
  <c r="M1032" i="1"/>
  <c r="O1031" i="1"/>
  <c r="O1031" i="1" a="1"/>
  <c r="N1031" i="1"/>
  <c r="M1031" i="1"/>
  <c r="O1030" i="1"/>
  <c r="O1030" i="1" a="1"/>
  <c r="N1030" i="1"/>
  <c r="M1030" i="1"/>
  <c r="O1029" i="1"/>
  <c r="O1029" i="1" a="1"/>
  <c r="N1029" i="1"/>
  <c r="M1029" i="1"/>
  <c r="O1028" i="1"/>
  <c r="O1028" i="1" a="1"/>
  <c r="N1028" i="1"/>
  <c r="M1028" i="1"/>
  <c r="O1027" i="1"/>
  <c r="O1027" i="1" a="1"/>
  <c r="N1027" i="1"/>
  <c r="M1027" i="1"/>
  <c r="O1026" i="1"/>
  <c r="O1026" i="1" a="1"/>
  <c r="N1026" i="1"/>
  <c r="M1026" i="1"/>
  <c r="O1025" i="1"/>
  <c r="O1025" i="1" a="1"/>
  <c r="N1025" i="1"/>
  <c r="M1025" i="1"/>
  <c r="O1024" i="1"/>
  <c r="O1024" i="1" a="1"/>
  <c r="N1024" i="1"/>
  <c r="M1024" i="1"/>
  <c r="O1023" i="1"/>
  <c r="O1023" i="1" a="1"/>
  <c r="N1023" i="1"/>
  <c r="M1023" i="1"/>
  <c r="O1022" i="1"/>
  <c r="O1022" i="1" a="1"/>
  <c r="N1022" i="1"/>
  <c r="M1022" i="1"/>
  <c r="O1021" i="1"/>
  <c r="O1021" i="1" a="1"/>
  <c r="N1021" i="1"/>
  <c r="M1021" i="1"/>
  <c r="O1020" i="1"/>
  <c r="O1020" i="1" a="1"/>
  <c r="N1020" i="1"/>
  <c r="M1020" i="1"/>
  <c r="O1019" i="1"/>
  <c r="O1019" i="1" a="1"/>
  <c r="N1019" i="1"/>
  <c r="M1019" i="1"/>
  <c r="O1018" i="1"/>
  <c r="O1018" i="1" a="1"/>
  <c r="N1018" i="1"/>
  <c r="M1018" i="1"/>
  <c r="O1017" i="1"/>
  <c r="O1017" i="1" a="1"/>
  <c r="N1017" i="1"/>
  <c r="M1017" i="1"/>
  <c r="O1016" i="1"/>
  <c r="O1016" i="1" a="1"/>
  <c r="N1016" i="1"/>
  <c r="M1016" i="1"/>
  <c r="O1015" i="1"/>
  <c r="O1015" i="1" a="1"/>
  <c r="N1015" i="1"/>
  <c r="M1015" i="1"/>
  <c r="O1014" i="1"/>
  <c r="O1014" i="1" a="1"/>
  <c r="N1014" i="1"/>
  <c r="M1014" i="1"/>
  <c r="O1013" i="1"/>
  <c r="O1013" i="1" a="1"/>
  <c r="N1013" i="1"/>
  <c r="M1013" i="1"/>
  <c r="O1012" i="1"/>
  <c r="O1012" i="1" a="1"/>
  <c r="N1012" i="1"/>
  <c r="M1012" i="1"/>
  <c r="O1011" i="1"/>
  <c r="O1011" i="1" a="1"/>
  <c r="N1011" i="1"/>
  <c r="M1011" i="1"/>
  <c r="O1010" i="1"/>
  <c r="O1010" i="1" a="1"/>
  <c r="N1010" i="1"/>
  <c r="M1010" i="1"/>
  <c r="O1009" i="1"/>
  <c r="O1009" i="1" a="1"/>
  <c r="N1009" i="1"/>
  <c r="M1009" i="1"/>
  <c r="O1008" i="1"/>
  <c r="O1008" i="1" a="1"/>
  <c r="N1008" i="1"/>
  <c r="M1008" i="1"/>
  <c r="O1007" i="1"/>
  <c r="O1007" i="1" a="1"/>
  <c r="N1007" i="1"/>
  <c r="M1007" i="1"/>
  <c r="O1006" i="1"/>
  <c r="O1006" i="1" a="1"/>
  <c r="N1006" i="1"/>
  <c r="M1006" i="1"/>
  <c r="O1005" i="1"/>
  <c r="O1005" i="1" a="1"/>
  <c r="N1005" i="1"/>
  <c r="M1005" i="1"/>
  <c r="O1004" i="1"/>
  <c r="O1004" i="1" a="1"/>
  <c r="N1004" i="1"/>
  <c r="M1004" i="1"/>
  <c r="O1003" i="1"/>
  <c r="O1003" i="1" a="1"/>
  <c r="N1003" i="1"/>
  <c r="M1003" i="1"/>
  <c r="O1002" i="1"/>
  <c r="O1002" i="1" a="1"/>
  <c r="N1002" i="1"/>
  <c r="M1002" i="1"/>
  <c r="O1001" i="1"/>
  <c r="O1001" i="1" a="1"/>
  <c r="N1001" i="1"/>
  <c r="M1001" i="1"/>
  <c r="O1000" i="1"/>
  <c r="O1000" i="1" a="1"/>
  <c r="N1000" i="1"/>
  <c r="M1000" i="1"/>
  <c r="O999" i="1"/>
  <c r="O999" i="1" a="1"/>
  <c r="N999" i="1"/>
  <c r="M999" i="1"/>
  <c r="O998" i="1"/>
  <c r="O998" i="1" a="1"/>
  <c r="N998" i="1"/>
  <c r="M998" i="1"/>
  <c r="O997" i="1"/>
  <c r="O997" i="1" a="1"/>
  <c r="N997" i="1"/>
  <c r="M997" i="1"/>
  <c r="O996" i="1"/>
  <c r="O996" i="1" a="1"/>
  <c r="N996" i="1"/>
  <c r="M996" i="1"/>
  <c r="O995" i="1"/>
  <c r="O995" i="1" a="1"/>
  <c r="N995" i="1"/>
  <c r="M995" i="1"/>
  <c r="O994" i="1"/>
  <c r="O994" i="1" a="1"/>
  <c r="N994" i="1"/>
  <c r="M994" i="1"/>
  <c r="O993" i="1"/>
  <c r="O993" i="1" a="1"/>
  <c r="N993" i="1"/>
  <c r="M993" i="1"/>
  <c r="O992" i="1"/>
  <c r="O992" i="1" a="1"/>
  <c r="N992" i="1"/>
  <c r="M992" i="1"/>
  <c r="O991" i="1"/>
  <c r="O991" i="1" a="1"/>
  <c r="N991" i="1"/>
  <c r="M991" i="1"/>
  <c r="O990" i="1"/>
  <c r="O990" i="1" a="1"/>
  <c r="N990" i="1"/>
  <c r="M990" i="1"/>
  <c r="O989" i="1"/>
  <c r="O989" i="1" a="1"/>
  <c r="N989" i="1"/>
  <c r="M989" i="1"/>
  <c r="O988" i="1"/>
  <c r="O988" i="1" a="1"/>
  <c r="N988" i="1"/>
  <c r="M988" i="1"/>
  <c r="O987" i="1"/>
  <c r="O987" i="1" a="1"/>
  <c r="N987" i="1"/>
  <c r="M987" i="1"/>
  <c r="O986" i="1"/>
  <c r="O986" i="1" a="1"/>
  <c r="N986" i="1"/>
  <c r="M986" i="1"/>
  <c r="O985" i="1"/>
  <c r="O985" i="1" a="1"/>
  <c r="N985" i="1"/>
  <c r="M985" i="1"/>
  <c r="O984" i="1"/>
  <c r="O984" i="1" a="1"/>
  <c r="N984" i="1"/>
  <c r="M984" i="1"/>
  <c r="O983" i="1"/>
  <c r="O983" i="1" a="1"/>
  <c r="N983" i="1"/>
  <c r="M983" i="1"/>
  <c r="O982" i="1"/>
  <c r="O982" i="1" a="1"/>
  <c r="N982" i="1"/>
  <c r="M982" i="1"/>
  <c r="O981" i="1"/>
  <c r="O981" i="1" a="1"/>
  <c r="N981" i="1"/>
  <c r="M981" i="1"/>
  <c r="O980" i="1"/>
  <c r="O980" i="1" a="1"/>
  <c r="N980" i="1"/>
  <c r="M980" i="1"/>
  <c r="O979" i="1"/>
  <c r="O979" i="1" a="1"/>
  <c r="N979" i="1"/>
  <c r="M979" i="1"/>
  <c r="O978" i="1"/>
  <c r="O978" i="1" a="1"/>
  <c r="N978" i="1"/>
  <c r="M978" i="1"/>
  <c r="O977" i="1"/>
  <c r="O977" i="1" a="1"/>
  <c r="N977" i="1"/>
  <c r="M977" i="1"/>
  <c r="O976" i="1"/>
  <c r="O976" i="1" a="1"/>
  <c r="N976" i="1"/>
  <c r="M976" i="1"/>
  <c r="O975" i="1"/>
  <c r="O975" i="1" a="1"/>
  <c r="N975" i="1"/>
  <c r="M975" i="1"/>
  <c r="O974" i="1"/>
  <c r="O974" i="1" a="1"/>
  <c r="N974" i="1"/>
  <c r="M974" i="1"/>
  <c r="O973" i="1"/>
  <c r="O973" i="1" a="1"/>
  <c r="N973" i="1"/>
  <c r="M973" i="1"/>
  <c r="O972" i="1"/>
  <c r="O972" i="1" a="1"/>
  <c r="N972" i="1"/>
  <c r="M972" i="1"/>
  <c r="O971" i="1"/>
  <c r="O971" i="1" a="1"/>
  <c r="N971" i="1"/>
  <c r="M971" i="1"/>
  <c r="O970" i="1"/>
  <c r="O970" i="1" a="1"/>
  <c r="N970" i="1"/>
  <c r="M970" i="1"/>
  <c r="O969" i="1"/>
  <c r="O969" i="1" a="1"/>
  <c r="N969" i="1"/>
  <c r="M969" i="1"/>
  <c r="O968" i="1"/>
  <c r="O968" i="1" a="1"/>
  <c r="N968" i="1"/>
  <c r="M968" i="1"/>
  <c r="O967" i="1"/>
  <c r="O967" i="1" a="1"/>
  <c r="N967" i="1"/>
  <c r="M967" i="1"/>
  <c r="O966" i="1"/>
  <c r="O966" i="1" a="1"/>
  <c r="N966" i="1"/>
  <c r="M966" i="1"/>
  <c r="O965" i="1"/>
  <c r="O965" i="1" a="1"/>
  <c r="N965" i="1"/>
  <c r="M965" i="1"/>
  <c r="O964" i="1"/>
  <c r="O964" i="1" a="1"/>
  <c r="N964" i="1"/>
  <c r="M964" i="1"/>
  <c r="O963" i="1"/>
  <c r="O963" i="1" a="1"/>
  <c r="N963" i="1"/>
  <c r="M963" i="1"/>
  <c r="O962" i="1"/>
  <c r="O962" i="1" a="1"/>
  <c r="N962" i="1"/>
  <c r="M962" i="1"/>
  <c r="O961" i="1"/>
  <c r="O961" i="1" a="1"/>
  <c r="N961" i="1"/>
  <c r="M961" i="1"/>
  <c r="O960" i="1"/>
  <c r="O960" i="1" a="1"/>
  <c r="N960" i="1"/>
  <c r="M960" i="1"/>
  <c r="O959" i="1"/>
  <c r="O959" i="1" a="1"/>
  <c r="N959" i="1"/>
  <c r="M959" i="1"/>
  <c r="O958" i="1"/>
  <c r="O958" i="1" a="1"/>
  <c r="N958" i="1"/>
  <c r="M958" i="1"/>
  <c r="O957" i="1"/>
  <c r="O957" i="1" a="1"/>
  <c r="N957" i="1"/>
  <c r="M957" i="1"/>
  <c r="O956" i="1"/>
  <c r="O956" i="1" a="1"/>
  <c r="N956" i="1"/>
  <c r="M956" i="1"/>
  <c r="O955" i="1"/>
  <c r="O955" i="1" a="1"/>
  <c r="N955" i="1"/>
  <c r="M955" i="1"/>
  <c r="O954" i="1"/>
  <c r="O954" i="1" a="1"/>
  <c r="N954" i="1"/>
  <c r="M954" i="1"/>
  <c r="O953" i="1"/>
  <c r="O953" i="1" a="1"/>
  <c r="N953" i="1"/>
  <c r="M953" i="1"/>
  <c r="O952" i="1"/>
  <c r="O952" i="1" a="1"/>
  <c r="N952" i="1"/>
  <c r="M952" i="1"/>
  <c r="O951" i="1"/>
  <c r="O951" i="1" a="1"/>
  <c r="N951" i="1"/>
  <c r="M951" i="1"/>
  <c r="O950" i="1"/>
  <c r="O950" i="1" a="1"/>
  <c r="N950" i="1"/>
  <c r="M950" i="1"/>
  <c r="O949" i="1"/>
  <c r="O949" i="1" a="1"/>
  <c r="N949" i="1"/>
  <c r="M949" i="1"/>
  <c r="O948" i="1"/>
  <c r="O948" i="1" a="1"/>
  <c r="N948" i="1"/>
  <c r="M948" i="1"/>
  <c r="O947" i="1"/>
  <c r="O947" i="1" a="1"/>
  <c r="N947" i="1"/>
  <c r="M947" i="1"/>
  <c r="O946" i="1"/>
  <c r="O946" i="1" a="1"/>
  <c r="N946" i="1"/>
  <c r="M946" i="1"/>
  <c r="O945" i="1"/>
  <c r="O945" i="1" a="1"/>
  <c r="N945" i="1"/>
  <c r="M945" i="1"/>
  <c r="O944" i="1"/>
  <c r="O944" i="1" a="1"/>
  <c r="N944" i="1"/>
  <c r="M944" i="1"/>
  <c r="O943" i="1"/>
  <c r="O943" i="1" a="1"/>
  <c r="N943" i="1"/>
  <c r="M943" i="1"/>
  <c r="O942" i="1"/>
  <c r="O942" i="1" a="1"/>
  <c r="N942" i="1"/>
  <c r="M942" i="1"/>
  <c r="O941" i="1"/>
  <c r="O941" i="1" a="1"/>
  <c r="N941" i="1"/>
  <c r="M941" i="1"/>
  <c r="O940" i="1"/>
  <c r="O940" i="1" a="1"/>
  <c r="N940" i="1"/>
  <c r="M940" i="1"/>
  <c r="O939" i="1"/>
  <c r="O939" i="1" a="1"/>
  <c r="N939" i="1"/>
  <c r="M939" i="1"/>
  <c r="O938" i="1"/>
  <c r="O938" i="1" a="1"/>
  <c r="N938" i="1"/>
  <c r="M938" i="1"/>
  <c r="O937" i="1"/>
  <c r="O937" i="1" a="1"/>
  <c r="N937" i="1"/>
  <c r="M937" i="1"/>
  <c r="O936" i="1"/>
  <c r="O936" i="1" a="1"/>
  <c r="N936" i="1"/>
  <c r="M936" i="1"/>
  <c r="O935" i="1"/>
  <c r="O935" i="1" a="1"/>
  <c r="N935" i="1"/>
  <c r="M935" i="1"/>
  <c r="O934" i="1"/>
  <c r="O934" i="1" a="1"/>
  <c r="N934" i="1"/>
  <c r="M934" i="1"/>
  <c r="O933" i="1"/>
  <c r="O933" i="1" a="1"/>
  <c r="N933" i="1"/>
  <c r="M933" i="1"/>
  <c r="O932" i="1"/>
  <c r="O932" i="1" a="1"/>
  <c r="N932" i="1"/>
  <c r="M932" i="1"/>
  <c r="O931" i="1"/>
  <c r="O931" i="1" a="1"/>
  <c r="N931" i="1"/>
  <c r="M931" i="1"/>
  <c r="O930" i="1"/>
  <c r="O930" i="1" a="1"/>
  <c r="N930" i="1"/>
  <c r="M930" i="1"/>
  <c r="O929" i="1"/>
  <c r="O929" i="1" a="1"/>
  <c r="N929" i="1"/>
  <c r="M929" i="1"/>
  <c r="O928" i="1"/>
  <c r="O928" i="1" a="1"/>
  <c r="N928" i="1"/>
  <c r="M928" i="1"/>
  <c r="O927" i="1"/>
  <c r="O927" i="1" a="1"/>
  <c r="N927" i="1"/>
  <c r="M927" i="1"/>
  <c r="O926" i="1"/>
  <c r="O926" i="1" a="1"/>
  <c r="N926" i="1"/>
  <c r="M926" i="1"/>
  <c r="O925" i="1"/>
  <c r="O925" i="1" a="1"/>
  <c r="N925" i="1"/>
  <c r="M925" i="1"/>
  <c r="O924" i="1"/>
  <c r="O924" i="1" a="1"/>
  <c r="N924" i="1"/>
  <c r="M924" i="1"/>
  <c r="O923" i="1"/>
  <c r="O923" i="1" a="1"/>
  <c r="N923" i="1"/>
  <c r="M923" i="1"/>
  <c r="O922" i="1"/>
  <c r="O922" i="1" a="1"/>
  <c r="N922" i="1"/>
  <c r="M922" i="1"/>
  <c r="O921" i="1"/>
  <c r="O921" i="1" a="1"/>
  <c r="N921" i="1"/>
  <c r="M921" i="1"/>
  <c r="O920" i="1"/>
  <c r="O920" i="1" a="1"/>
  <c r="N920" i="1"/>
  <c r="M920" i="1"/>
  <c r="O919" i="1"/>
  <c r="O919" i="1" a="1"/>
  <c r="N919" i="1"/>
  <c r="M919" i="1"/>
  <c r="O918" i="1"/>
  <c r="O918" i="1" a="1"/>
  <c r="N918" i="1"/>
  <c r="M918" i="1"/>
  <c r="O917" i="1"/>
  <c r="O917" i="1" a="1"/>
  <c r="N917" i="1"/>
  <c r="M917" i="1"/>
  <c r="O916" i="1"/>
  <c r="O916" i="1" a="1"/>
  <c r="N916" i="1"/>
  <c r="M916" i="1"/>
  <c r="O915" i="1"/>
  <c r="O915" i="1" a="1"/>
  <c r="N915" i="1"/>
  <c r="M915" i="1"/>
  <c r="O914" i="1"/>
  <c r="O914" i="1" a="1"/>
  <c r="N914" i="1"/>
  <c r="M914" i="1"/>
  <c r="O913" i="1"/>
  <c r="O913" i="1" a="1"/>
  <c r="N913" i="1"/>
  <c r="M913" i="1"/>
  <c r="O912" i="1"/>
  <c r="O912" i="1" a="1"/>
  <c r="N912" i="1"/>
  <c r="M912" i="1"/>
  <c r="O911" i="1"/>
  <c r="O911" i="1" a="1"/>
  <c r="N911" i="1"/>
  <c r="M911" i="1"/>
  <c r="O910" i="1"/>
  <c r="O910" i="1" a="1"/>
  <c r="N910" i="1"/>
  <c r="M910" i="1"/>
  <c r="O909" i="1"/>
  <c r="O909" i="1" a="1"/>
  <c r="N909" i="1"/>
  <c r="M909" i="1"/>
  <c r="O908" i="1"/>
  <c r="O908" i="1" a="1"/>
  <c r="N908" i="1"/>
  <c r="M908" i="1"/>
  <c r="O907" i="1"/>
  <c r="O907" i="1" a="1"/>
  <c r="N907" i="1"/>
  <c r="M907" i="1"/>
  <c r="O906" i="1"/>
  <c r="O906" i="1" a="1"/>
  <c r="N906" i="1"/>
  <c r="M906" i="1"/>
  <c r="O905" i="1"/>
  <c r="O905" i="1" a="1"/>
  <c r="N905" i="1"/>
  <c r="M905" i="1"/>
  <c r="O904" i="1"/>
  <c r="O904" i="1" a="1"/>
  <c r="N904" i="1"/>
  <c r="M904" i="1"/>
  <c r="O903" i="1"/>
  <c r="O903" i="1" a="1"/>
  <c r="N903" i="1"/>
  <c r="M903" i="1"/>
  <c r="O902" i="1"/>
  <c r="O902" i="1" a="1"/>
  <c r="N902" i="1"/>
  <c r="M902" i="1"/>
  <c r="O901" i="1"/>
  <c r="O901" i="1" a="1"/>
  <c r="N901" i="1"/>
  <c r="M901" i="1"/>
  <c r="O900" i="1"/>
  <c r="O900" i="1" a="1"/>
  <c r="N900" i="1"/>
  <c r="M900" i="1"/>
  <c r="O899" i="1"/>
  <c r="O899" i="1" a="1"/>
  <c r="N899" i="1"/>
  <c r="M899" i="1"/>
  <c r="O898" i="1"/>
  <c r="O898" i="1" a="1"/>
  <c r="N898" i="1"/>
  <c r="M898" i="1"/>
  <c r="O897" i="1"/>
  <c r="O897" i="1" a="1"/>
  <c r="N897" i="1"/>
  <c r="M897" i="1"/>
  <c r="O896" i="1"/>
  <c r="O896" i="1" a="1"/>
  <c r="N896" i="1"/>
  <c r="M896" i="1"/>
  <c r="O895" i="1"/>
  <c r="O895" i="1" a="1"/>
  <c r="N895" i="1"/>
  <c r="M895" i="1"/>
  <c r="O894" i="1"/>
  <c r="O894" i="1" a="1"/>
  <c r="N894" i="1"/>
  <c r="M894" i="1"/>
  <c r="O893" i="1"/>
  <c r="O893" i="1" a="1"/>
  <c r="N893" i="1"/>
  <c r="M893" i="1"/>
  <c r="O892" i="1"/>
  <c r="O892" i="1" a="1"/>
  <c r="N892" i="1"/>
  <c r="M892" i="1"/>
  <c r="O891" i="1"/>
  <c r="O891" i="1" a="1"/>
  <c r="N891" i="1"/>
  <c r="M891" i="1"/>
  <c r="O890" i="1"/>
  <c r="O890" i="1" a="1"/>
  <c r="N890" i="1"/>
  <c r="M890" i="1"/>
  <c r="O889" i="1"/>
  <c r="O889" i="1" a="1"/>
  <c r="N889" i="1"/>
  <c r="M889" i="1"/>
  <c r="O888" i="1"/>
  <c r="O888" i="1" a="1"/>
  <c r="N888" i="1"/>
  <c r="M888" i="1"/>
  <c r="O887" i="1"/>
  <c r="O887" i="1" a="1"/>
  <c r="N887" i="1"/>
  <c r="M887" i="1"/>
  <c r="O886" i="1"/>
  <c r="O886" i="1" a="1"/>
  <c r="N886" i="1"/>
  <c r="M886" i="1"/>
  <c r="O885" i="1"/>
  <c r="O885" i="1" a="1"/>
  <c r="N885" i="1"/>
  <c r="M885" i="1"/>
  <c r="O884" i="1"/>
  <c r="O884" i="1" a="1"/>
  <c r="N884" i="1"/>
  <c r="M884" i="1"/>
  <c r="O883" i="1"/>
  <c r="O883" i="1" a="1"/>
  <c r="N883" i="1"/>
  <c r="M883" i="1"/>
  <c r="O882" i="1"/>
  <c r="O882" i="1" a="1"/>
  <c r="N882" i="1"/>
  <c r="M882" i="1"/>
  <c r="O881" i="1"/>
  <c r="O881" i="1" a="1"/>
  <c r="N881" i="1"/>
  <c r="M881" i="1"/>
  <c r="O880" i="1"/>
  <c r="O880" i="1" a="1"/>
  <c r="N880" i="1"/>
  <c r="M880" i="1"/>
  <c r="O879" i="1"/>
  <c r="O879" i="1" a="1"/>
  <c r="N879" i="1"/>
  <c r="M879" i="1"/>
  <c r="O878" i="1"/>
  <c r="O878" i="1" a="1"/>
  <c r="N878" i="1"/>
  <c r="M878" i="1"/>
  <c r="O877" i="1"/>
  <c r="O877" i="1" a="1"/>
  <c r="N877" i="1"/>
  <c r="M877" i="1"/>
  <c r="O876" i="1"/>
  <c r="O876" i="1" a="1"/>
  <c r="N876" i="1"/>
  <c r="M876" i="1"/>
  <c r="O875" i="1"/>
  <c r="O875" i="1" a="1"/>
  <c r="N875" i="1"/>
  <c r="M875" i="1"/>
  <c r="O874" i="1"/>
  <c r="O874" i="1" a="1"/>
  <c r="N874" i="1"/>
  <c r="M874" i="1"/>
  <c r="O873" i="1"/>
  <c r="O873" i="1" a="1"/>
  <c r="N873" i="1"/>
  <c r="M873" i="1"/>
  <c r="O872" i="1"/>
  <c r="O872" i="1" a="1"/>
  <c r="N872" i="1"/>
  <c r="M872" i="1"/>
  <c r="O871" i="1"/>
  <c r="O871" i="1" a="1"/>
  <c r="N871" i="1"/>
  <c r="M871" i="1"/>
  <c r="O870" i="1"/>
  <c r="O870" i="1" a="1"/>
  <c r="N870" i="1"/>
  <c r="M870" i="1"/>
  <c r="O869" i="1"/>
  <c r="O869" i="1" a="1"/>
  <c r="N869" i="1"/>
  <c r="M869" i="1"/>
  <c r="O868" i="1"/>
  <c r="O868" i="1" a="1"/>
  <c r="N868" i="1"/>
  <c r="M868" i="1"/>
  <c r="O867" i="1"/>
  <c r="O867" i="1" a="1"/>
  <c r="N867" i="1"/>
  <c r="M867" i="1"/>
  <c r="O866" i="1"/>
  <c r="O866" i="1" a="1"/>
  <c r="N866" i="1"/>
  <c r="M866" i="1"/>
  <c r="O865" i="1"/>
  <c r="O865" i="1" a="1"/>
  <c r="N865" i="1"/>
  <c r="M865" i="1"/>
  <c r="O864" i="1"/>
  <c r="O864" i="1" a="1"/>
  <c r="N864" i="1"/>
  <c r="M864" i="1"/>
  <c r="O863" i="1"/>
  <c r="O863" i="1" a="1"/>
  <c r="N863" i="1"/>
  <c r="M863" i="1"/>
  <c r="O862" i="1"/>
  <c r="O862" i="1" a="1"/>
  <c r="N862" i="1"/>
  <c r="M862" i="1"/>
  <c r="O861" i="1"/>
  <c r="O861" i="1" a="1"/>
  <c r="N861" i="1"/>
  <c r="M861" i="1"/>
  <c r="O860" i="1"/>
  <c r="O860" i="1" a="1"/>
  <c r="N860" i="1"/>
  <c r="M860" i="1"/>
  <c r="O859" i="1"/>
  <c r="O859" i="1" a="1"/>
  <c r="N859" i="1"/>
  <c r="M859" i="1"/>
  <c r="O858" i="1"/>
  <c r="O858" i="1" a="1"/>
  <c r="N858" i="1"/>
  <c r="M858" i="1"/>
  <c r="O857" i="1"/>
  <c r="O857" i="1" a="1"/>
  <c r="N857" i="1"/>
  <c r="M857" i="1"/>
  <c r="O856" i="1"/>
  <c r="O856" i="1" a="1"/>
  <c r="N856" i="1"/>
  <c r="M856" i="1"/>
  <c r="O855" i="1"/>
  <c r="O855" i="1" a="1"/>
  <c r="N855" i="1"/>
  <c r="M855" i="1"/>
  <c r="O854" i="1"/>
  <c r="O854" i="1" a="1"/>
  <c r="N854" i="1"/>
  <c r="M854" i="1"/>
  <c r="O853" i="1"/>
  <c r="O853" i="1" a="1"/>
  <c r="N853" i="1"/>
  <c r="M853" i="1"/>
  <c r="O852" i="1"/>
  <c r="O852" i="1" a="1"/>
  <c r="N852" i="1"/>
  <c r="M852" i="1"/>
  <c r="O851" i="1"/>
  <c r="O851" i="1" a="1"/>
  <c r="N851" i="1"/>
  <c r="M851" i="1"/>
  <c r="O850" i="1"/>
  <c r="O850" i="1" a="1"/>
  <c r="N850" i="1"/>
  <c r="M850" i="1"/>
  <c r="O849" i="1"/>
  <c r="O849" i="1" a="1"/>
  <c r="N849" i="1"/>
  <c r="M849" i="1"/>
  <c r="O848" i="1"/>
  <c r="O848" i="1" a="1"/>
  <c r="N848" i="1"/>
  <c r="M848" i="1"/>
  <c r="O847" i="1"/>
  <c r="O847" i="1" a="1"/>
  <c r="N847" i="1"/>
  <c r="M847" i="1"/>
  <c r="O846" i="1"/>
  <c r="O846" i="1" a="1"/>
  <c r="N846" i="1"/>
  <c r="M846" i="1"/>
  <c r="O845" i="1"/>
  <c r="O845" i="1" a="1"/>
  <c r="N845" i="1"/>
  <c r="M845" i="1"/>
  <c r="O844" i="1"/>
  <c r="O844" i="1" a="1"/>
  <c r="N844" i="1"/>
  <c r="M844" i="1"/>
  <c r="O843" i="1"/>
  <c r="O843" i="1" a="1"/>
  <c r="N843" i="1"/>
  <c r="M843" i="1"/>
  <c r="O842" i="1"/>
  <c r="O842" i="1" a="1"/>
  <c r="N842" i="1"/>
  <c r="M842" i="1"/>
  <c r="O841" i="1"/>
  <c r="O841" i="1" a="1"/>
  <c r="N841" i="1"/>
  <c r="M841" i="1"/>
  <c r="O840" i="1"/>
  <c r="O840" i="1" a="1"/>
  <c r="N840" i="1"/>
  <c r="M840" i="1"/>
  <c r="O839" i="1"/>
  <c r="O839" i="1" a="1"/>
  <c r="N839" i="1"/>
  <c r="M839" i="1"/>
  <c r="O838" i="1"/>
  <c r="O838" i="1" a="1"/>
  <c r="N838" i="1"/>
  <c r="M838" i="1"/>
  <c r="O837" i="1"/>
  <c r="O837" i="1" a="1"/>
  <c r="N837" i="1"/>
  <c r="M837" i="1"/>
  <c r="O836" i="1"/>
  <c r="O836" i="1" a="1"/>
  <c r="N836" i="1"/>
  <c r="M836" i="1"/>
  <c r="O835" i="1"/>
  <c r="O835" i="1" a="1"/>
  <c r="N835" i="1"/>
  <c r="M835" i="1"/>
  <c r="O834" i="1"/>
  <c r="O834" i="1" a="1"/>
  <c r="N834" i="1"/>
  <c r="M834" i="1"/>
  <c r="O833" i="1"/>
  <c r="O833" i="1" a="1"/>
  <c r="N833" i="1"/>
  <c r="M833" i="1"/>
  <c r="O832" i="1"/>
  <c r="O832" i="1" a="1"/>
  <c r="N832" i="1"/>
  <c r="M832" i="1"/>
  <c r="O831" i="1"/>
  <c r="O831" i="1" a="1"/>
  <c r="N831" i="1"/>
  <c r="M831" i="1"/>
  <c r="O830" i="1"/>
  <c r="O830" i="1" a="1"/>
  <c r="N830" i="1"/>
  <c r="M830" i="1"/>
  <c r="O829" i="1"/>
  <c r="O829" i="1" a="1"/>
  <c r="N829" i="1"/>
  <c r="M829" i="1"/>
  <c r="O828" i="1"/>
  <c r="O828" i="1" a="1"/>
  <c r="N828" i="1"/>
  <c r="M828" i="1"/>
  <c r="O827" i="1"/>
  <c r="O827" i="1" a="1"/>
  <c r="N827" i="1"/>
  <c r="M827" i="1"/>
  <c r="O826" i="1"/>
  <c r="O826" i="1" a="1"/>
  <c r="N826" i="1"/>
  <c r="M826" i="1"/>
  <c r="O825" i="1"/>
  <c r="O825" i="1" a="1"/>
  <c r="N825" i="1"/>
  <c r="M825" i="1"/>
  <c r="O824" i="1"/>
  <c r="O824" i="1" a="1"/>
  <c r="N824" i="1"/>
  <c r="M824" i="1"/>
  <c r="O823" i="1"/>
  <c r="O823" i="1" a="1"/>
  <c r="N823" i="1"/>
  <c r="M823" i="1"/>
  <c r="O822" i="1"/>
  <c r="O822" i="1" a="1"/>
  <c r="N822" i="1"/>
  <c r="M822" i="1"/>
  <c r="O821" i="1"/>
  <c r="O821" i="1" a="1"/>
  <c r="N821" i="1"/>
  <c r="M821" i="1"/>
  <c r="O820" i="1"/>
  <c r="O820" i="1" a="1"/>
  <c r="N820" i="1"/>
  <c r="M820" i="1"/>
  <c r="O819" i="1"/>
  <c r="O819" i="1" a="1"/>
  <c r="N819" i="1"/>
  <c r="M819" i="1"/>
  <c r="O818" i="1"/>
  <c r="O818" i="1" a="1"/>
  <c r="N818" i="1"/>
  <c r="M818" i="1"/>
  <c r="O817" i="1"/>
  <c r="O817" i="1" a="1"/>
  <c r="N817" i="1"/>
  <c r="M817" i="1"/>
  <c r="O816" i="1"/>
  <c r="O816" i="1" a="1"/>
  <c r="N816" i="1"/>
  <c r="M816" i="1"/>
  <c r="O815" i="1"/>
  <c r="O815" i="1" a="1"/>
  <c r="N815" i="1"/>
  <c r="M815" i="1"/>
  <c r="O814" i="1"/>
  <c r="O814" i="1" a="1"/>
  <c r="N814" i="1"/>
  <c r="M814" i="1"/>
  <c r="O813" i="1"/>
  <c r="O813" i="1" a="1"/>
  <c r="N813" i="1"/>
  <c r="M813" i="1"/>
  <c r="O812" i="1"/>
  <c r="O812" i="1" a="1"/>
  <c r="N812" i="1"/>
  <c r="M812" i="1"/>
  <c r="O811" i="1"/>
  <c r="O811" i="1" a="1"/>
  <c r="N811" i="1"/>
  <c r="M811" i="1"/>
  <c r="O810" i="1"/>
  <c r="O810" i="1" a="1"/>
  <c r="N810" i="1"/>
  <c r="M810" i="1"/>
  <c r="O809" i="1"/>
  <c r="O809" i="1" a="1"/>
  <c r="N809" i="1"/>
  <c r="M809" i="1"/>
  <c r="O808" i="1"/>
  <c r="O808" i="1" a="1"/>
  <c r="N808" i="1"/>
  <c r="M808" i="1"/>
  <c r="O807" i="1"/>
  <c r="O807" i="1" a="1"/>
  <c r="N807" i="1"/>
  <c r="M807" i="1"/>
  <c r="O806" i="1"/>
  <c r="O806" i="1" a="1"/>
  <c r="N806" i="1"/>
  <c r="M806" i="1"/>
  <c r="O805" i="1"/>
  <c r="O805" i="1" a="1"/>
  <c r="N805" i="1"/>
  <c r="M805" i="1"/>
  <c r="O804" i="1"/>
  <c r="O804" i="1" a="1"/>
  <c r="N804" i="1"/>
  <c r="M804" i="1"/>
  <c r="O803" i="1"/>
  <c r="O803" i="1" a="1"/>
  <c r="N803" i="1"/>
  <c r="M803" i="1"/>
  <c r="O802" i="1"/>
  <c r="O802" i="1" a="1"/>
  <c r="N802" i="1"/>
  <c r="M802" i="1"/>
  <c r="O801" i="1"/>
  <c r="O801" i="1" a="1"/>
  <c r="N801" i="1"/>
  <c r="M801" i="1"/>
  <c r="O800" i="1"/>
  <c r="O800" i="1" a="1"/>
  <c r="N800" i="1"/>
  <c r="M800" i="1"/>
  <c r="O799" i="1"/>
  <c r="O799" i="1" a="1"/>
  <c r="N799" i="1"/>
  <c r="M799" i="1"/>
  <c r="O798" i="1"/>
  <c r="O798" i="1" a="1"/>
  <c r="N798" i="1"/>
  <c r="M798" i="1"/>
  <c r="O797" i="1"/>
  <c r="O797" i="1" a="1"/>
  <c r="N797" i="1"/>
  <c r="M797" i="1"/>
  <c r="O796" i="1"/>
  <c r="O796" i="1" a="1"/>
  <c r="N796" i="1"/>
  <c r="M796" i="1"/>
  <c r="O795" i="1"/>
  <c r="O795" i="1" a="1"/>
  <c r="N795" i="1"/>
  <c r="M795" i="1"/>
  <c r="O794" i="1"/>
  <c r="O794" i="1" a="1"/>
  <c r="N794" i="1"/>
  <c r="M794" i="1"/>
  <c r="O793" i="1"/>
  <c r="O793" i="1" a="1"/>
  <c r="N793" i="1"/>
  <c r="M793" i="1"/>
  <c r="O792" i="1"/>
  <c r="O792" i="1" a="1"/>
  <c r="N792" i="1"/>
  <c r="M792" i="1"/>
  <c r="O791" i="1"/>
  <c r="O791" i="1" a="1"/>
  <c r="N791" i="1"/>
  <c r="M791" i="1"/>
  <c r="O790" i="1"/>
  <c r="O790" i="1" a="1"/>
  <c r="N790" i="1"/>
  <c r="M790" i="1"/>
  <c r="O789" i="1"/>
  <c r="O789" i="1" a="1"/>
  <c r="N789" i="1"/>
  <c r="M789" i="1"/>
  <c r="O788" i="1"/>
  <c r="O788" i="1" a="1"/>
  <c r="N788" i="1"/>
  <c r="M788" i="1"/>
  <c r="O787" i="1"/>
  <c r="O787" i="1" a="1"/>
  <c r="N787" i="1"/>
  <c r="M787" i="1"/>
  <c r="O786" i="1"/>
  <c r="O786" i="1" a="1"/>
  <c r="N786" i="1"/>
  <c r="M786" i="1"/>
  <c r="O785" i="1"/>
  <c r="O785" i="1" a="1"/>
  <c r="N785" i="1"/>
  <c r="M785" i="1"/>
  <c r="O784" i="1"/>
  <c r="O784" i="1" a="1"/>
  <c r="N784" i="1"/>
  <c r="M784" i="1"/>
  <c r="O783" i="1"/>
  <c r="O783" i="1" a="1"/>
  <c r="N783" i="1"/>
  <c r="M783" i="1"/>
  <c r="O782" i="1"/>
  <c r="O782" i="1" a="1"/>
  <c r="N782" i="1"/>
  <c r="M782" i="1"/>
  <c r="O781" i="1"/>
  <c r="O781" i="1" a="1"/>
  <c r="N781" i="1"/>
  <c r="M781" i="1"/>
  <c r="O780" i="1"/>
  <c r="O780" i="1" a="1"/>
  <c r="N780" i="1"/>
  <c r="M780" i="1"/>
  <c r="O779" i="1"/>
  <c r="O779" i="1" a="1"/>
  <c r="N779" i="1"/>
  <c r="M779" i="1"/>
  <c r="O778" i="1"/>
  <c r="O778" i="1" a="1"/>
  <c r="N778" i="1"/>
  <c r="M778" i="1"/>
  <c r="O777" i="1"/>
  <c r="O777" i="1" a="1"/>
  <c r="N777" i="1"/>
  <c r="M777" i="1"/>
  <c r="O776" i="1"/>
  <c r="O776" i="1" a="1"/>
  <c r="N776" i="1"/>
  <c r="M776" i="1"/>
  <c r="O775" i="1"/>
  <c r="O775" i="1" a="1"/>
  <c r="N775" i="1"/>
  <c r="M775" i="1"/>
  <c r="O774" i="1"/>
  <c r="O774" i="1" a="1"/>
  <c r="N774" i="1"/>
  <c r="M774" i="1"/>
  <c r="O773" i="1"/>
  <c r="O773" i="1" a="1"/>
  <c r="N773" i="1"/>
  <c r="M773" i="1"/>
  <c r="O772" i="1"/>
  <c r="O772" i="1" a="1"/>
  <c r="N772" i="1"/>
  <c r="M772" i="1"/>
  <c r="O771" i="1"/>
  <c r="O771" i="1" a="1"/>
  <c r="N771" i="1"/>
  <c r="M771" i="1"/>
  <c r="O770" i="1"/>
  <c r="O770" i="1" a="1"/>
  <c r="N770" i="1"/>
  <c r="M770" i="1"/>
  <c r="O769" i="1"/>
  <c r="O769" i="1" a="1"/>
  <c r="N769" i="1"/>
  <c r="M769" i="1"/>
  <c r="O768" i="1"/>
  <c r="O768" i="1" a="1"/>
  <c r="N768" i="1"/>
  <c r="M768" i="1"/>
  <c r="O767" i="1"/>
  <c r="O767" i="1" a="1"/>
  <c r="N767" i="1"/>
  <c r="M767" i="1"/>
  <c r="O766" i="1"/>
  <c r="O766" i="1" a="1"/>
  <c r="N766" i="1"/>
  <c r="M766" i="1"/>
  <c r="O765" i="1"/>
  <c r="O765" i="1" a="1"/>
  <c r="N765" i="1"/>
  <c r="M765" i="1"/>
  <c r="O764" i="1"/>
  <c r="O764" i="1" a="1"/>
  <c r="N764" i="1"/>
  <c r="M764" i="1"/>
  <c r="O763" i="1"/>
  <c r="O763" i="1" a="1"/>
  <c r="N763" i="1"/>
  <c r="M763" i="1"/>
  <c r="O762" i="1"/>
  <c r="O762" i="1" a="1"/>
  <c r="N762" i="1"/>
  <c r="M762" i="1"/>
  <c r="O761" i="1"/>
  <c r="O761" i="1" a="1"/>
  <c r="N761" i="1"/>
  <c r="M761" i="1"/>
  <c r="O760" i="1"/>
  <c r="O760" i="1" a="1"/>
  <c r="N760" i="1"/>
  <c r="M760" i="1"/>
  <c r="O759" i="1"/>
  <c r="O759" i="1" a="1"/>
  <c r="N759" i="1"/>
  <c r="M759" i="1"/>
  <c r="O758" i="1"/>
  <c r="O758" i="1" a="1"/>
  <c r="N758" i="1"/>
  <c r="M758" i="1"/>
  <c r="O757" i="1"/>
  <c r="O757" i="1" a="1"/>
  <c r="N757" i="1"/>
  <c r="M757" i="1"/>
  <c r="O756" i="1"/>
  <c r="O756" i="1" a="1"/>
  <c r="N756" i="1"/>
  <c r="M756" i="1"/>
  <c r="O755" i="1"/>
  <c r="O755" i="1" a="1"/>
  <c r="N755" i="1"/>
  <c r="M755" i="1"/>
  <c r="O754" i="1"/>
  <c r="O754" i="1" a="1"/>
  <c r="N754" i="1"/>
  <c r="M754" i="1"/>
  <c r="O753" i="1"/>
  <c r="O753" i="1" a="1"/>
  <c r="N753" i="1"/>
  <c r="M753" i="1"/>
  <c r="O752" i="1"/>
  <c r="O752" i="1" a="1"/>
  <c r="N752" i="1"/>
  <c r="M752" i="1"/>
  <c r="O751" i="1"/>
  <c r="O751" i="1" a="1"/>
  <c r="N751" i="1"/>
  <c r="M751" i="1"/>
  <c r="O750" i="1"/>
  <c r="O750" i="1" a="1"/>
  <c r="N750" i="1"/>
  <c r="M750" i="1"/>
  <c r="O749" i="1"/>
  <c r="O749" i="1" a="1"/>
  <c r="N749" i="1"/>
  <c r="M749" i="1"/>
  <c r="O748" i="1"/>
  <c r="O748" i="1" a="1"/>
  <c r="N748" i="1"/>
  <c r="M748" i="1"/>
  <c r="O747" i="1"/>
  <c r="O747" i="1" a="1"/>
  <c r="N747" i="1"/>
  <c r="M747" i="1"/>
  <c r="O746" i="1"/>
  <c r="O746" i="1" a="1"/>
  <c r="N746" i="1"/>
  <c r="M746" i="1"/>
  <c r="O745" i="1"/>
  <c r="O745" i="1" a="1"/>
  <c r="N745" i="1"/>
  <c r="M745" i="1"/>
  <c r="O744" i="1"/>
  <c r="O744" i="1" a="1"/>
  <c r="N744" i="1"/>
  <c r="M744" i="1"/>
  <c r="O743" i="1"/>
  <c r="O743" i="1" a="1"/>
  <c r="N743" i="1"/>
  <c r="M743" i="1"/>
  <c r="O742" i="1"/>
  <c r="O742" i="1" a="1"/>
  <c r="N742" i="1"/>
  <c r="M742" i="1"/>
  <c r="O741" i="1"/>
  <c r="O741" i="1" a="1"/>
  <c r="N741" i="1"/>
  <c r="M741" i="1"/>
  <c r="O740" i="1"/>
  <c r="O740" i="1" a="1"/>
  <c r="N740" i="1"/>
  <c r="M740" i="1"/>
  <c r="O739" i="1"/>
  <c r="O739" i="1" a="1"/>
  <c r="N739" i="1"/>
  <c r="M739" i="1"/>
  <c r="O738" i="1"/>
  <c r="O738" i="1" a="1"/>
  <c r="N738" i="1"/>
  <c r="M738" i="1"/>
  <c r="O737" i="1"/>
  <c r="O737" i="1" a="1"/>
  <c r="N737" i="1"/>
  <c r="M737" i="1"/>
  <c r="O736" i="1"/>
  <c r="O736" i="1" a="1"/>
  <c r="N736" i="1"/>
  <c r="M736" i="1"/>
  <c r="O735" i="1"/>
  <c r="O735" i="1" a="1"/>
  <c r="N735" i="1"/>
  <c r="M735" i="1"/>
  <c r="O734" i="1"/>
  <c r="O734" i="1" a="1"/>
  <c r="N734" i="1"/>
  <c r="M734" i="1"/>
  <c r="O733" i="1"/>
  <c r="O733" i="1" a="1"/>
  <c r="N733" i="1"/>
  <c r="M733" i="1"/>
  <c r="O732" i="1"/>
  <c r="O732" i="1" a="1"/>
  <c r="N732" i="1"/>
  <c r="M732" i="1"/>
  <c r="O731" i="1"/>
  <c r="O731" i="1" a="1"/>
  <c r="N731" i="1"/>
  <c r="M731" i="1"/>
  <c r="O730" i="1"/>
  <c r="O730" i="1" a="1"/>
  <c r="N730" i="1"/>
  <c r="M730" i="1"/>
  <c r="O729" i="1"/>
  <c r="O729" i="1" a="1"/>
  <c r="N729" i="1"/>
  <c r="M729" i="1"/>
  <c r="O728" i="1"/>
  <c r="O728" i="1" a="1"/>
  <c r="N728" i="1"/>
  <c r="M728" i="1"/>
  <c r="O727" i="1"/>
  <c r="O727" i="1" a="1"/>
  <c r="N727" i="1"/>
  <c r="M727" i="1"/>
  <c r="O726" i="1"/>
  <c r="O726" i="1" a="1"/>
  <c r="N726" i="1"/>
  <c r="M726" i="1"/>
  <c r="O725" i="1"/>
  <c r="O725" i="1" a="1"/>
  <c r="N725" i="1"/>
  <c r="M725" i="1"/>
  <c r="O724" i="1"/>
  <c r="O724" i="1" a="1"/>
  <c r="N724" i="1"/>
  <c r="M724" i="1"/>
  <c r="O723" i="1"/>
  <c r="O723" i="1" a="1"/>
  <c r="N723" i="1"/>
  <c r="M723" i="1"/>
  <c r="O722" i="1"/>
  <c r="O722" i="1" a="1"/>
  <c r="N722" i="1"/>
  <c r="M722" i="1"/>
  <c r="O721" i="1"/>
  <c r="O721" i="1" a="1"/>
  <c r="N721" i="1"/>
  <c r="M721" i="1"/>
  <c r="O720" i="1"/>
  <c r="O720" i="1" a="1"/>
  <c r="N720" i="1"/>
  <c r="M720" i="1"/>
  <c r="O719" i="1"/>
  <c r="O719" i="1" a="1"/>
  <c r="N719" i="1"/>
  <c r="M719" i="1"/>
  <c r="O718" i="1"/>
  <c r="O718" i="1" a="1"/>
  <c r="N718" i="1"/>
  <c r="M718" i="1"/>
  <c r="O717" i="1"/>
  <c r="O717" i="1" a="1"/>
  <c r="N717" i="1"/>
  <c r="M717" i="1"/>
  <c r="O716" i="1"/>
  <c r="O716" i="1" a="1"/>
  <c r="N716" i="1"/>
  <c r="M716" i="1"/>
  <c r="O715" i="1"/>
  <c r="O715" i="1" a="1"/>
  <c r="N715" i="1"/>
  <c r="M715" i="1"/>
  <c r="O714" i="1"/>
  <c r="O714" i="1" a="1"/>
  <c r="N714" i="1"/>
  <c r="M714" i="1"/>
  <c r="O713" i="1"/>
  <c r="O713" i="1" a="1"/>
  <c r="N713" i="1"/>
  <c r="M713" i="1"/>
  <c r="O712" i="1"/>
  <c r="O712" i="1" a="1"/>
  <c r="N712" i="1"/>
  <c r="M712" i="1"/>
  <c r="O711" i="1"/>
  <c r="O711" i="1" a="1"/>
  <c r="N711" i="1"/>
  <c r="M711" i="1"/>
  <c r="O710" i="1"/>
  <c r="O710" i="1" a="1"/>
  <c r="N710" i="1"/>
  <c r="M710" i="1"/>
  <c r="O709" i="1"/>
  <c r="O709" i="1" a="1"/>
  <c r="N709" i="1"/>
  <c r="M709" i="1"/>
  <c r="O708" i="1"/>
  <c r="O708" i="1" a="1"/>
  <c r="N708" i="1"/>
  <c r="M708" i="1"/>
  <c r="O707" i="1"/>
  <c r="O707" i="1" a="1"/>
  <c r="N707" i="1"/>
  <c r="M707" i="1"/>
  <c r="O706" i="1"/>
  <c r="O706" i="1" a="1"/>
  <c r="N706" i="1"/>
  <c r="M706" i="1"/>
  <c r="O705" i="1"/>
  <c r="O705" i="1" a="1"/>
  <c r="N705" i="1"/>
  <c r="M705" i="1"/>
  <c r="O704" i="1"/>
  <c r="O704" i="1" a="1"/>
  <c r="N704" i="1"/>
  <c r="M704" i="1"/>
  <c r="O703" i="1"/>
  <c r="O703" i="1" a="1"/>
  <c r="N703" i="1"/>
  <c r="M703" i="1"/>
  <c r="O702" i="1"/>
  <c r="O702" i="1" a="1"/>
  <c r="N702" i="1"/>
  <c r="M702" i="1"/>
  <c r="O701" i="1"/>
  <c r="O701" i="1" a="1"/>
  <c r="N701" i="1"/>
  <c r="M701" i="1"/>
  <c r="O700" i="1"/>
  <c r="O700" i="1" a="1"/>
  <c r="N700" i="1"/>
  <c r="M700" i="1"/>
  <c r="O699" i="1"/>
  <c r="O699" i="1" a="1"/>
  <c r="N699" i="1"/>
  <c r="M699" i="1"/>
  <c r="O698" i="1"/>
  <c r="O698" i="1" a="1"/>
  <c r="N698" i="1"/>
  <c r="M698" i="1"/>
  <c r="O697" i="1"/>
  <c r="O697" i="1" a="1"/>
  <c r="N697" i="1"/>
  <c r="M697" i="1"/>
  <c r="O696" i="1"/>
  <c r="O696" i="1" a="1"/>
  <c r="N696" i="1"/>
  <c r="M696" i="1"/>
  <c r="O695" i="1"/>
  <c r="O695" i="1" a="1"/>
  <c r="N695" i="1"/>
  <c r="M695" i="1"/>
  <c r="O694" i="1"/>
  <c r="O694" i="1" a="1"/>
  <c r="N694" i="1"/>
  <c r="M694" i="1"/>
  <c r="O693" i="1"/>
  <c r="O693" i="1" a="1"/>
  <c r="N693" i="1"/>
  <c r="M693" i="1"/>
  <c r="O692" i="1"/>
  <c r="O692" i="1" a="1"/>
  <c r="N692" i="1"/>
  <c r="M692" i="1"/>
  <c r="O691" i="1"/>
  <c r="O691" i="1" a="1"/>
  <c r="N691" i="1"/>
  <c r="M691" i="1"/>
  <c r="O690" i="1"/>
  <c r="O690" i="1" a="1"/>
  <c r="N690" i="1"/>
  <c r="M690" i="1"/>
  <c r="O689" i="1"/>
  <c r="O689" i="1" a="1"/>
  <c r="N689" i="1"/>
  <c r="M689" i="1"/>
  <c r="O688" i="1"/>
  <c r="O688" i="1" a="1"/>
  <c r="N688" i="1"/>
  <c r="M688" i="1"/>
  <c r="O687" i="1"/>
  <c r="O687" i="1" a="1"/>
  <c r="N687" i="1"/>
  <c r="M687" i="1"/>
  <c r="O686" i="1"/>
  <c r="O686" i="1" a="1"/>
  <c r="N686" i="1"/>
  <c r="M686" i="1"/>
  <c r="O685" i="1"/>
  <c r="O685" i="1" a="1"/>
  <c r="N685" i="1"/>
  <c r="M685" i="1"/>
  <c r="O684" i="1"/>
  <c r="O684" i="1" a="1"/>
  <c r="N684" i="1"/>
  <c r="M684" i="1"/>
  <c r="O683" i="1"/>
  <c r="O683" i="1" a="1"/>
  <c r="N683" i="1"/>
  <c r="M683" i="1"/>
  <c r="O682" i="1"/>
  <c r="O682" i="1" a="1"/>
  <c r="N682" i="1"/>
  <c r="M682" i="1"/>
  <c r="O681" i="1"/>
  <c r="O681" i="1" a="1"/>
  <c r="N681" i="1"/>
  <c r="M681" i="1"/>
  <c r="O680" i="1"/>
  <c r="O680" i="1" a="1"/>
  <c r="N680" i="1"/>
  <c r="M680" i="1"/>
  <c r="O679" i="1"/>
  <c r="O679" i="1" a="1"/>
  <c r="N679" i="1"/>
  <c r="M679" i="1"/>
  <c r="O678" i="1"/>
  <c r="O678" i="1" a="1"/>
  <c r="N678" i="1"/>
  <c r="M678" i="1"/>
  <c r="O677" i="1"/>
  <c r="O677" i="1" a="1"/>
  <c r="N677" i="1"/>
  <c r="M677" i="1"/>
  <c r="O676" i="1"/>
  <c r="O676" i="1" a="1"/>
  <c r="N676" i="1"/>
  <c r="M676" i="1"/>
  <c r="O675" i="1"/>
  <c r="O675" i="1" a="1"/>
  <c r="N675" i="1"/>
  <c r="M675" i="1"/>
  <c r="O674" i="1"/>
  <c r="O674" i="1" a="1"/>
  <c r="N674" i="1"/>
  <c r="M674" i="1"/>
  <c r="O673" i="1"/>
  <c r="O673" i="1" a="1"/>
  <c r="N673" i="1"/>
  <c r="M673" i="1"/>
  <c r="O672" i="1"/>
  <c r="O672" i="1" a="1"/>
  <c r="N672" i="1"/>
  <c r="M672" i="1"/>
  <c r="O671" i="1"/>
  <c r="O671" i="1" a="1"/>
  <c r="N671" i="1"/>
  <c r="M671" i="1"/>
  <c r="O670" i="1"/>
  <c r="O670" i="1" a="1"/>
  <c r="N670" i="1"/>
  <c r="M670" i="1"/>
  <c r="O669" i="1"/>
  <c r="O669" i="1" a="1"/>
  <c r="N669" i="1"/>
  <c r="M669" i="1"/>
  <c r="O668" i="1"/>
  <c r="O668" i="1" a="1"/>
  <c r="N668" i="1"/>
  <c r="M668" i="1"/>
  <c r="O667" i="1"/>
  <c r="O667" i="1" a="1"/>
  <c r="N667" i="1"/>
  <c r="M667" i="1"/>
  <c r="O666" i="1"/>
  <c r="O666" i="1" a="1"/>
  <c r="N666" i="1"/>
  <c r="M666" i="1"/>
  <c r="O665" i="1"/>
  <c r="O665" i="1" a="1"/>
  <c r="N665" i="1"/>
  <c r="M665" i="1"/>
  <c r="O664" i="1"/>
  <c r="O664" i="1" a="1"/>
  <c r="N664" i="1"/>
  <c r="M664" i="1"/>
  <c r="O663" i="1"/>
  <c r="O663" i="1" a="1"/>
  <c r="N663" i="1"/>
  <c r="M663" i="1"/>
  <c r="O662" i="1"/>
  <c r="O662" i="1" a="1"/>
  <c r="N662" i="1"/>
  <c r="M662" i="1"/>
  <c r="O661" i="1"/>
  <c r="O661" i="1" a="1"/>
  <c r="N661" i="1"/>
  <c r="M661" i="1"/>
  <c r="O660" i="1"/>
  <c r="O660" i="1" a="1"/>
  <c r="N660" i="1"/>
  <c r="M660" i="1"/>
  <c r="O659" i="1"/>
  <c r="O659" i="1" a="1"/>
  <c r="N659" i="1"/>
  <c r="M659" i="1"/>
  <c r="O658" i="1"/>
  <c r="O658" i="1" a="1"/>
  <c r="N658" i="1"/>
  <c r="M658" i="1"/>
  <c r="O657" i="1"/>
  <c r="O657" i="1" a="1"/>
  <c r="N657" i="1"/>
  <c r="M657" i="1"/>
  <c r="O656" i="1"/>
  <c r="O656" i="1" a="1"/>
  <c r="N656" i="1"/>
  <c r="M656" i="1"/>
  <c r="O655" i="1"/>
  <c r="O655" i="1" a="1"/>
  <c r="N655" i="1"/>
  <c r="M655" i="1"/>
  <c r="O654" i="1"/>
  <c r="O654" i="1" a="1"/>
  <c r="N654" i="1"/>
  <c r="M654" i="1"/>
  <c r="O653" i="1"/>
  <c r="O653" i="1" a="1"/>
  <c r="N653" i="1"/>
  <c r="M653" i="1"/>
  <c r="O652" i="1"/>
  <c r="O652" i="1" a="1"/>
  <c r="N652" i="1"/>
  <c r="M652" i="1"/>
  <c r="O651" i="1"/>
  <c r="O651" i="1" a="1"/>
  <c r="N651" i="1"/>
  <c r="M651" i="1"/>
  <c r="O650" i="1"/>
  <c r="O650" i="1" a="1"/>
  <c r="N650" i="1"/>
  <c r="M650" i="1"/>
  <c r="O649" i="1"/>
  <c r="O649" i="1" a="1"/>
  <c r="N649" i="1"/>
  <c r="M649" i="1"/>
  <c r="O648" i="1"/>
  <c r="O648" i="1" a="1"/>
  <c r="N648" i="1"/>
  <c r="M648" i="1"/>
  <c r="O647" i="1"/>
  <c r="O647" i="1" a="1"/>
  <c r="N647" i="1"/>
  <c r="M647" i="1"/>
  <c r="O646" i="1"/>
  <c r="O646" i="1" a="1"/>
  <c r="N646" i="1"/>
  <c r="M646" i="1"/>
  <c r="O645" i="1"/>
  <c r="O645" i="1" a="1"/>
  <c r="N645" i="1"/>
  <c r="M645" i="1"/>
  <c r="O644" i="1"/>
  <c r="O644" i="1" a="1"/>
  <c r="N644" i="1"/>
  <c r="M644" i="1"/>
  <c r="O643" i="1"/>
  <c r="O643" i="1" a="1"/>
  <c r="N643" i="1"/>
  <c r="M643" i="1"/>
  <c r="O642" i="1"/>
  <c r="O642" i="1" a="1"/>
  <c r="N642" i="1"/>
  <c r="M642" i="1"/>
  <c r="O641" i="1"/>
  <c r="O641" i="1" a="1"/>
  <c r="N641" i="1"/>
  <c r="M641" i="1"/>
  <c r="O640" i="1"/>
  <c r="O640" i="1" a="1"/>
  <c r="N640" i="1"/>
  <c r="M640" i="1"/>
  <c r="O639" i="1"/>
  <c r="O639" i="1" a="1"/>
  <c r="N639" i="1"/>
  <c r="M639" i="1"/>
  <c r="O638" i="1"/>
  <c r="O638" i="1" a="1"/>
  <c r="N638" i="1"/>
  <c r="M638" i="1"/>
  <c r="O637" i="1"/>
  <c r="O637" i="1" a="1"/>
  <c r="N637" i="1"/>
  <c r="M637" i="1"/>
  <c r="O636" i="1"/>
  <c r="O636" i="1" a="1"/>
  <c r="N636" i="1"/>
  <c r="M636" i="1"/>
  <c r="O635" i="1"/>
  <c r="O635" i="1" a="1"/>
  <c r="N635" i="1"/>
  <c r="M635" i="1"/>
  <c r="O634" i="1"/>
  <c r="O634" i="1" a="1"/>
  <c r="N634" i="1"/>
  <c r="M634" i="1"/>
  <c r="O633" i="1"/>
  <c r="O633" i="1" a="1"/>
  <c r="N633" i="1"/>
  <c r="M633" i="1"/>
  <c r="O632" i="1"/>
  <c r="O632" i="1" a="1"/>
  <c r="N632" i="1"/>
  <c r="M632" i="1"/>
  <c r="O631" i="1"/>
  <c r="O631" i="1" a="1"/>
  <c r="N631" i="1"/>
  <c r="M631" i="1"/>
  <c r="O630" i="1"/>
  <c r="O630" i="1" a="1"/>
  <c r="N630" i="1"/>
  <c r="M630" i="1"/>
  <c r="O629" i="1"/>
  <c r="O629" i="1" a="1"/>
  <c r="N629" i="1"/>
  <c r="M629" i="1"/>
  <c r="O628" i="1"/>
  <c r="O628" i="1" a="1"/>
  <c r="N628" i="1"/>
  <c r="M628" i="1"/>
  <c r="O627" i="1"/>
  <c r="O627" i="1" a="1"/>
  <c r="N627" i="1"/>
  <c r="M627" i="1"/>
  <c r="O626" i="1"/>
  <c r="O626" i="1" a="1"/>
  <c r="N626" i="1"/>
  <c r="M626" i="1"/>
  <c r="O625" i="1"/>
  <c r="O625" i="1" a="1"/>
  <c r="N625" i="1"/>
  <c r="M625" i="1"/>
  <c r="O624" i="1"/>
  <c r="O624" i="1" a="1"/>
  <c r="N624" i="1"/>
  <c r="M624" i="1"/>
  <c r="O623" i="1"/>
  <c r="O623" i="1" a="1"/>
  <c r="N623" i="1"/>
  <c r="M623" i="1"/>
  <c r="O622" i="1"/>
  <c r="O622" i="1" a="1"/>
  <c r="N622" i="1"/>
  <c r="M622" i="1"/>
  <c r="O621" i="1"/>
  <c r="O621" i="1" a="1"/>
  <c r="N621" i="1"/>
  <c r="M621" i="1"/>
  <c r="O620" i="1"/>
  <c r="O620" i="1" a="1"/>
  <c r="N620" i="1"/>
  <c r="M620" i="1"/>
  <c r="O619" i="1"/>
  <c r="O619" i="1" a="1"/>
  <c r="N619" i="1"/>
  <c r="M619" i="1"/>
  <c r="O618" i="1"/>
  <c r="O618" i="1" a="1"/>
  <c r="N618" i="1"/>
  <c r="M618" i="1"/>
  <c r="O617" i="1"/>
  <c r="O617" i="1" a="1"/>
  <c r="N617" i="1"/>
  <c r="M617" i="1"/>
  <c r="O616" i="1"/>
  <c r="O616" i="1" a="1"/>
  <c r="N616" i="1"/>
  <c r="M616" i="1"/>
  <c r="O615" i="1"/>
  <c r="O615" i="1" a="1"/>
  <c r="N615" i="1"/>
  <c r="M615" i="1"/>
  <c r="O614" i="1"/>
  <c r="O614" i="1" a="1"/>
  <c r="N614" i="1"/>
  <c r="M614" i="1"/>
  <c r="O613" i="1"/>
  <c r="O613" i="1" a="1"/>
  <c r="N613" i="1"/>
  <c r="M613" i="1"/>
  <c r="O612" i="1"/>
  <c r="O612" i="1" a="1"/>
  <c r="N612" i="1"/>
  <c r="M612" i="1"/>
  <c r="O611" i="1"/>
  <c r="O611" i="1" a="1"/>
  <c r="N611" i="1"/>
  <c r="M611" i="1"/>
  <c r="O610" i="1"/>
  <c r="O610" i="1" a="1"/>
  <c r="N610" i="1"/>
  <c r="M610" i="1"/>
  <c r="O609" i="1"/>
  <c r="O609" i="1" a="1"/>
  <c r="N609" i="1"/>
  <c r="M609" i="1"/>
  <c r="O608" i="1"/>
  <c r="O608" i="1" a="1"/>
  <c r="N608" i="1"/>
  <c r="M608" i="1"/>
  <c r="O607" i="1"/>
  <c r="O607" i="1" a="1"/>
  <c r="N607" i="1"/>
  <c r="M607" i="1"/>
  <c r="O606" i="1"/>
  <c r="O606" i="1" a="1"/>
  <c r="N606" i="1"/>
  <c r="M606" i="1"/>
  <c r="O605" i="1"/>
  <c r="O605" i="1" a="1"/>
  <c r="N605" i="1"/>
  <c r="M605" i="1"/>
  <c r="O604" i="1"/>
  <c r="O604" i="1" a="1"/>
  <c r="N604" i="1"/>
  <c r="M604" i="1"/>
  <c r="O603" i="1"/>
  <c r="O603" i="1" a="1"/>
  <c r="N603" i="1"/>
  <c r="M603" i="1"/>
  <c r="O602" i="1"/>
  <c r="O602" i="1" a="1"/>
  <c r="N602" i="1"/>
  <c r="M602" i="1"/>
  <c r="O601" i="1"/>
  <c r="O601" i="1" a="1"/>
  <c r="N601" i="1"/>
  <c r="M601" i="1"/>
  <c r="O600" i="1"/>
  <c r="O600" i="1" a="1"/>
  <c r="N600" i="1"/>
  <c r="M600" i="1"/>
  <c r="O599" i="1"/>
  <c r="O599" i="1" a="1"/>
  <c r="N599" i="1"/>
  <c r="M599" i="1"/>
  <c r="O598" i="1"/>
  <c r="O598" i="1" a="1"/>
  <c r="N598" i="1"/>
  <c r="M598" i="1"/>
  <c r="O597" i="1"/>
  <c r="O597" i="1" a="1"/>
  <c r="N597" i="1"/>
  <c r="M597" i="1"/>
  <c r="O596" i="1"/>
  <c r="O596" i="1" a="1"/>
  <c r="N596" i="1"/>
  <c r="M596" i="1"/>
  <c r="O595" i="1"/>
  <c r="O595" i="1" a="1"/>
  <c r="N595" i="1"/>
  <c r="M595" i="1"/>
  <c r="O594" i="1"/>
  <c r="O594" i="1" a="1"/>
  <c r="N594" i="1"/>
  <c r="M594" i="1"/>
  <c r="O593" i="1"/>
  <c r="O593" i="1" a="1"/>
  <c r="N593" i="1"/>
  <c r="M593" i="1"/>
  <c r="O592" i="1"/>
  <c r="O592" i="1" a="1"/>
  <c r="N592" i="1"/>
  <c r="M592" i="1"/>
  <c r="O591" i="1"/>
  <c r="O591" i="1" a="1"/>
  <c r="N591" i="1"/>
  <c r="M591" i="1"/>
  <c r="O590" i="1"/>
  <c r="O590" i="1" a="1"/>
  <c r="N590" i="1"/>
  <c r="M590" i="1"/>
  <c r="O589" i="1"/>
  <c r="O589" i="1" a="1"/>
  <c r="N589" i="1"/>
  <c r="M589" i="1"/>
  <c r="O588" i="1"/>
  <c r="O588" i="1" a="1"/>
  <c r="N588" i="1"/>
  <c r="M588" i="1"/>
  <c r="O587" i="1"/>
  <c r="O587" i="1" a="1"/>
  <c r="N587" i="1"/>
  <c r="M587" i="1"/>
  <c r="O586" i="1"/>
  <c r="O586" i="1" a="1"/>
  <c r="N586" i="1"/>
  <c r="M586" i="1"/>
  <c r="O585" i="1"/>
  <c r="O585" i="1" a="1"/>
  <c r="N585" i="1"/>
  <c r="M585" i="1"/>
  <c r="O584" i="1"/>
  <c r="O584" i="1" a="1"/>
  <c r="N584" i="1"/>
  <c r="M584" i="1"/>
  <c r="O583" i="1"/>
  <c r="O583" i="1" a="1"/>
  <c r="N583" i="1"/>
  <c r="M583" i="1"/>
  <c r="O582" i="1"/>
  <c r="O582" i="1" a="1"/>
  <c r="N582" i="1"/>
  <c r="M582" i="1"/>
  <c r="O581" i="1"/>
  <c r="O581" i="1" a="1"/>
  <c r="N581" i="1"/>
  <c r="M581" i="1"/>
  <c r="O580" i="1"/>
  <c r="O580" i="1" a="1"/>
  <c r="N580" i="1"/>
  <c r="M580" i="1"/>
  <c r="O579" i="1"/>
  <c r="O579" i="1" a="1"/>
  <c r="N579" i="1"/>
  <c r="M579" i="1"/>
  <c r="O578" i="1"/>
  <c r="O578" i="1" a="1"/>
  <c r="N578" i="1"/>
  <c r="M578" i="1"/>
  <c r="O577" i="1"/>
  <c r="O577" i="1" a="1"/>
  <c r="N577" i="1"/>
  <c r="M577" i="1"/>
  <c r="O576" i="1"/>
  <c r="O576" i="1" a="1"/>
  <c r="N576" i="1"/>
  <c r="M576" i="1"/>
  <c r="O575" i="1"/>
  <c r="O575" i="1" a="1"/>
  <c r="N575" i="1"/>
  <c r="M575" i="1"/>
  <c r="O574" i="1"/>
  <c r="O574" i="1" a="1"/>
  <c r="N574" i="1"/>
  <c r="M574" i="1"/>
  <c r="O573" i="1"/>
  <c r="O573" i="1" a="1"/>
  <c r="N573" i="1"/>
  <c r="M573" i="1"/>
  <c r="O572" i="1"/>
  <c r="O572" i="1" a="1"/>
  <c r="N572" i="1"/>
  <c r="M572" i="1"/>
  <c r="O571" i="1"/>
  <c r="O571" i="1" a="1"/>
  <c r="N571" i="1"/>
  <c r="M571" i="1"/>
  <c r="O570" i="1"/>
  <c r="O570" i="1" a="1"/>
  <c r="N570" i="1"/>
  <c r="M570" i="1"/>
  <c r="O569" i="1"/>
  <c r="O569" i="1" a="1"/>
  <c r="N569" i="1"/>
  <c r="M569" i="1"/>
  <c r="O568" i="1"/>
  <c r="O568" i="1" a="1"/>
  <c r="N568" i="1"/>
  <c r="M568" i="1"/>
  <c r="O567" i="1"/>
  <c r="O567" i="1" a="1"/>
  <c r="N567" i="1"/>
  <c r="M567" i="1"/>
  <c r="O566" i="1"/>
  <c r="O566" i="1" a="1"/>
  <c r="N566" i="1"/>
  <c r="M566" i="1"/>
  <c r="O565" i="1"/>
  <c r="O565" i="1" a="1"/>
  <c r="N565" i="1"/>
  <c r="M565" i="1"/>
  <c r="O564" i="1"/>
  <c r="O564" i="1" a="1"/>
  <c r="N564" i="1"/>
  <c r="M564" i="1"/>
  <c r="O563" i="1"/>
  <c r="O563" i="1" a="1"/>
  <c r="N563" i="1"/>
  <c r="M563" i="1"/>
  <c r="O562" i="1"/>
  <c r="O562" i="1" a="1"/>
  <c r="N562" i="1"/>
  <c r="M562" i="1"/>
  <c r="O561" i="1"/>
  <c r="O561" i="1" a="1"/>
  <c r="N561" i="1"/>
  <c r="M561" i="1"/>
  <c r="O560" i="1"/>
  <c r="O560" i="1" a="1"/>
  <c r="N560" i="1"/>
  <c r="M560" i="1"/>
  <c r="O559" i="1"/>
  <c r="O559" i="1" a="1"/>
  <c r="N559" i="1"/>
  <c r="M559" i="1"/>
  <c r="O558" i="1"/>
  <c r="O558" i="1" a="1"/>
  <c r="N558" i="1"/>
  <c r="M558" i="1"/>
  <c r="O557" i="1"/>
  <c r="O557" i="1" a="1"/>
  <c r="N557" i="1"/>
  <c r="M557" i="1"/>
  <c r="O556" i="1"/>
  <c r="O556" i="1" a="1"/>
  <c r="N556" i="1"/>
  <c r="M556" i="1"/>
  <c r="O555" i="1"/>
  <c r="O555" i="1" a="1"/>
  <c r="N555" i="1"/>
  <c r="M555" i="1"/>
  <c r="O554" i="1"/>
  <c r="O554" i="1" a="1"/>
  <c r="N554" i="1"/>
  <c r="M554" i="1"/>
  <c r="O553" i="1"/>
  <c r="O553" i="1" a="1"/>
  <c r="N553" i="1"/>
  <c r="M553" i="1"/>
  <c r="O552" i="1"/>
  <c r="O552" i="1" a="1"/>
  <c r="N552" i="1"/>
  <c r="M552" i="1"/>
  <c r="O551" i="1"/>
  <c r="O551" i="1" a="1"/>
  <c r="N551" i="1"/>
  <c r="M551" i="1"/>
  <c r="O550" i="1"/>
  <c r="O550" i="1" a="1"/>
  <c r="N550" i="1"/>
  <c r="M550" i="1"/>
  <c r="O549" i="1"/>
  <c r="O549" i="1" a="1"/>
  <c r="N549" i="1"/>
  <c r="M549" i="1"/>
  <c r="O548" i="1"/>
  <c r="O548" i="1" a="1"/>
  <c r="N548" i="1"/>
  <c r="M548" i="1"/>
  <c r="O547" i="1"/>
  <c r="O547" i="1" a="1"/>
  <c r="N547" i="1"/>
  <c r="M547" i="1"/>
  <c r="O546" i="1"/>
  <c r="O546" i="1" a="1"/>
  <c r="N546" i="1"/>
  <c r="M546" i="1"/>
  <c r="O545" i="1"/>
  <c r="O545" i="1" a="1"/>
  <c r="N545" i="1"/>
  <c r="M545" i="1"/>
  <c r="O544" i="1"/>
  <c r="O544" i="1" a="1"/>
  <c r="N544" i="1"/>
  <c r="M544" i="1"/>
  <c r="O543" i="1"/>
  <c r="O543" i="1" a="1"/>
  <c r="N543" i="1"/>
  <c r="M543" i="1"/>
  <c r="O542" i="1"/>
  <c r="O542" i="1" a="1"/>
  <c r="N542" i="1"/>
  <c r="M542" i="1"/>
  <c r="O541" i="1"/>
  <c r="O541" i="1" a="1"/>
  <c r="N541" i="1"/>
  <c r="M541" i="1"/>
  <c r="O540" i="1"/>
  <c r="O540" i="1" a="1"/>
  <c r="N540" i="1"/>
  <c r="M540" i="1"/>
  <c r="O539" i="1"/>
  <c r="O539" i="1" a="1"/>
  <c r="N539" i="1"/>
  <c r="M539" i="1"/>
  <c r="O538" i="1"/>
  <c r="O538" i="1" a="1"/>
  <c r="N538" i="1"/>
  <c r="M538" i="1"/>
  <c r="O537" i="1"/>
  <c r="O537" i="1" a="1"/>
  <c r="N537" i="1"/>
  <c r="M537" i="1"/>
  <c r="O536" i="1"/>
  <c r="O536" i="1" a="1"/>
  <c r="N536" i="1"/>
  <c r="M536" i="1"/>
  <c r="O535" i="1"/>
  <c r="O535" i="1" a="1"/>
  <c r="N535" i="1"/>
  <c r="M535" i="1"/>
  <c r="O534" i="1"/>
  <c r="O534" i="1" a="1"/>
  <c r="N534" i="1"/>
  <c r="M534" i="1"/>
  <c r="O533" i="1"/>
  <c r="O533" i="1" a="1"/>
  <c r="N533" i="1"/>
  <c r="M533" i="1"/>
  <c r="O532" i="1"/>
  <c r="O532" i="1" a="1"/>
  <c r="N532" i="1"/>
  <c r="M532" i="1"/>
  <c r="O531" i="1"/>
  <c r="O531" i="1" a="1"/>
  <c r="N531" i="1"/>
  <c r="M531" i="1"/>
  <c r="O530" i="1"/>
  <c r="O530" i="1" a="1"/>
  <c r="N530" i="1"/>
  <c r="M530" i="1"/>
  <c r="O529" i="1"/>
  <c r="O529" i="1" a="1"/>
  <c r="N529" i="1"/>
  <c r="M529" i="1"/>
  <c r="O528" i="1"/>
  <c r="O528" i="1" a="1"/>
  <c r="N528" i="1"/>
  <c r="M528" i="1"/>
  <c r="O527" i="1"/>
  <c r="O527" i="1" a="1"/>
  <c r="N527" i="1"/>
  <c r="M527" i="1"/>
  <c r="O526" i="1"/>
  <c r="O526" i="1" a="1"/>
  <c r="N526" i="1"/>
  <c r="M526" i="1"/>
  <c r="O525" i="1"/>
  <c r="O525" i="1" a="1"/>
  <c r="N525" i="1"/>
  <c r="M525" i="1"/>
  <c r="O524" i="1"/>
  <c r="O524" i="1" a="1"/>
  <c r="N524" i="1"/>
  <c r="M524" i="1"/>
  <c r="O523" i="1"/>
  <c r="O523" i="1" a="1"/>
  <c r="N523" i="1"/>
  <c r="M523" i="1"/>
  <c r="O522" i="1"/>
  <c r="O522" i="1" a="1"/>
  <c r="N522" i="1"/>
  <c r="M522" i="1"/>
  <c r="O521" i="1"/>
  <c r="O521" i="1" a="1"/>
  <c r="N521" i="1"/>
  <c r="M521" i="1"/>
  <c r="O520" i="1"/>
  <c r="O520" i="1" a="1"/>
  <c r="N520" i="1"/>
  <c r="M520" i="1"/>
  <c r="O519" i="1"/>
  <c r="O519" i="1" a="1"/>
  <c r="N519" i="1"/>
  <c r="M519" i="1"/>
  <c r="O518" i="1"/>
  <c r="O518" i="1" a="1"/>
  <c r="N518" i="1"/>
  <c r="M518" i="1"/>
  <c r="O517" i="1"/>
  <c r="O517" i="1" a="1"/>
  <c r="N517" i="1"/>
  <c r="M517" i="1"/>
  <c r="O516" i="1"/>
  <c r="O516" i="1" a="1"/>
  <c r="N516" i="1"/>
  <c r="M516" i="1"/>
  <c r="O515" i="1"/>
  <c r="O515" i="1" a="1"/>
  <c r="N515" i="1"/>
  <c r="M515" i="1"/>
  <c r="O514" i="1"/>
  <c r="O514" i="1" a="1"/>
  <c r="N514" i="1"/>
  <c r="M514" i="1"/>
  <c r="O513" i="1"/>
  <c r="O513" i="1" a="1"/>
  <c r="N513" i="1"/>
  <c r="M513" i="1"/>
  <c r="O512" i="1"/>
  <c r="O512" i="1" a="1"/>
  <c r="N512" i="1"/>
  <c r="M512" i="1"/>
  <c r="O511" i="1"/>
  <c r="O511" i="1" a="1"/>
  <c r="N511" i="1"/>
  <c r="M511" i="1"/>
  <c r="O510" i="1"/>
  <c r="O510" i="1" a="1"/>
  <c r="N510" i="1"/>
  <c r="M510" i="1"/>
  <c r="O509" i="1"/>
  <c r="O509" i="1" a="1"/>
  <c r="N509" i="1"/>
  <c r="M509" i="1"/>
  <c r="O508" i="1"/>
  <c r="O508" i="1" a="1"/>
  <c r="N508" i="1"/>
  <c r="M508" i="1"/>
  <c r="O507" i="1"/>
  <c r="O507" i="1" a="1"/>
  <c r="N507" i="1"/>
  <c r="M507" i="1"/>
  <c r="O506" i="1"/>
  <c r="O506" i="1" a="1"/>
  <c r="N506" i="1"/>
  <c r="M506" i="1"/>
  <c r="O505" i="1"/>
  <c r="O505" i="1" a="1"/>
  <c r="N505" i="1"/>
  <c r="M505" i="1"/>
  <c r="O504" i="1"/>
  <c r="O504" i="1" a="1"/>
  <c r="N504" i="1"/>
  <c r="M504" i="1"/>
  <c r="O503" i="1"/>
  <c r="O503" i="1" a="1"/>
  <c r="N503" i="1"/>
  <c r="M503" i="1"/>
  <c r="O502" i="1"/>
  <c r="O502" i="1" a="1"/>
  <c r="N502" i="1"/>
  <c r="M502" i="1"/>
  <c r="O501" i="1"/>
  <c r="O501" i="1" a="1"/>
  <c r="N501" i="1"/>
  <c r="M501" i="1"/>
  <c r="O500" i="1"/>
  <c r="O500" i="1" a="1"/>
  <c r="N500" i="1"/>
  <c r="M500" i="1"/>
  <c r="O499" i="1"/>
  <c r="O499" i="1" a="1"/>
  <c r="N499" i="1"/>
  <c r="M499" i="1"/>
  <c r="O498" i="1"/>
  <c r="O498" i="1" a="1"/>
  <c r="N498" i="1"/>
  <c r="M498" i="1"/>
  <c r="O497" i="1"/>
  <c r="O497" i="1" a="1"/>
  <c r="N497" i="1"/>
  <c r="M497" i="1"/>
  <c r="O496" i="1"/>
  <c r="O496" i="1" a="1"/>
  <c r="N496" i="1"/>
  <c r="M496" i="1"/>
  <c r="O495" i="1"/>
  <c r="O495" i="1" a="1"/>
  <c r="N495" i="1"/>
  <c r="M495" i="1"/>
  <c r="O494" i="1"/>
  <c r="O494" i="1" a="1"/>
  <c r="N494" i="1"/>
  <c r="M494" i="1"/>
  <c r="O493" i="1"/>
  <c r="O493" i="1" a="1"/>
  <c r="N493" i="1"/>
  <c r="M493" i="1"/>
  <c r="O492" i="1"/>
  <c r="O492" i="1" a="1"/>
  <c r="N492" i="1"/>
  <c r="M492" i="1"/>
  <c r="O491" i="1"/>
  <c r="O491" i="1" a="1"/>
  <c r="N491" i="1"/>
  <c r="M491" i="1"/>
  <c r="O490" i="1"/>
  <c r="O490" i="1" a="1"/>
  <c r="N490" i="1"/>
  <c r="M490" i="1"/>
  <c r="O489" i="1"/>
  <c r="O489" i="1" a="1"/>
  <c r="N489" i="1"/>
  <c r="M489" i="1"/>
  <c r="O488" i="1"/>
  <c r="O488" i="1" a="1"/>
  <c r="N488" i="1"/>
  <c r="M488" i="1"/>
  <c r="O487" i="1"/>
  <c r="O487" i="1" a="1"/>
  <c r="N487" i="1"/>
  <c r="M487" i="1"/>
  <c r="O486" i="1"/>
  <c r="O486" i="1" a="1"/>
  <c r="N486" i="1"/>
  <c r="M486" i="1"/>
  <c r="O485" i="1"/>
  <c r="O485" i="1" a="1"/>
  <c r="N485" i="1"/>
  <c r="M485" i="1"/>
  <c r="O484" i="1"/>
  <c r="O484" i="1" a="1"/>
  <c r="N484" i="1"/>
  <c r="M484" i="1"/>
  <c r="O483" i="1"/>
  <c r="O483" i="1" a="1"/>
  <c r="N483" i="1"/>
  <c r="M483" i="1"/>
  <c r="O482" i="1"/>
  <c r="O482" i="1" a="1"/>
  <c r="N482" i="1"/>
  <c r="M482" i="1"/>
  <c r="O481" i="1"/>
  <c r="O481" i="1" a="1"/>
  <c r="N481" i="1"/>
  <c r="M481" i="1"/>
  <c r="O480" i="1"/>
  <c r="O480" i="1" a="1"/>
  <c r="N480" i="1"/>
  <c r="M480" i="1"/>
  <c r="O479" i="1"/>
  <c r="O479" i="1" a="1"/>
  <c r="N479" i="1"/>
  <c r="M479" i="1"/>
  <c r="O478" i="1"/>
  <c r="O478" i="1" a="1"/>
  <c r="N478" i="1"/>
  <c r="M478" i="1"/>
  <c r="O477" i="1"/>
  <c r="O477" i="1" a="1"/>
  <c r="N477" i="1"/>
  <c r="M477" i="1"/>
  <c r="O476" i="1"/>
  <c r="O476" i="1" a="1"/>
  <c r="N476" i="1"/>
  <c r="M476" i="1"/>
  <c r="O475" i="1"/>
  <c r="O475" i="1" a="1"/>
  <c r="N475" i="1"/>
  <c r="M475" i="1"/>
  <c r="O474" i="1"/>
  <c r="O474" i="1" a="1"/>
  <c r="N474" i="1"/>
  <c r="M474" i="1"/>
  <c r="O473" i="1"/>
  <c r="O473" i="1" a="1"/>
  <c r="N473" i="1"/>
  <c r="M473" i="1"/>
  <c r="O472" i="1"/>
  <c r="O472" i="1" a="1"/>
  <c r="N472" i="1"/>
  <c r="M472" i="1"/>
  <c r="O471" i="1"/>
  <c r="O471" i="1" a="1"/>
  <c r="N471" i="1"/>
  <c r="M471" i="1"/>
  <c r="O470" i="1"/>
  <c r="O470" i="1" a="1"/>
  <c r="N470" i="1"/>
  <c r="M470" i="1"/>
  <c r="O469" i="1"/>
  <c r="O469" i="1" a="1"/>
  <c r="N469" i="1"/>
  <c r="M469" i="1"/>
  <c r="O468" i="1"/>
  <c r="O468" i="1" a="1"/>
  <c r="N468" i="1"/>
  <c r="M468" i="1"/>
  <c r="O467" i="1"/>
  <c r="O467" i="1" a="1"/>
  <c r="N467" i="1"/>
  <c r="M467" i="1"/>
  <c r="O466" i="1"/>
  <c r="O466" i="1" a="1"/>
  <c r="N466" i="1"/>
  <c r="M466" i="1"/>
  <c r="O465" i="1"/>
  <c r="O465" i="1" a="1"/>
  <c r="N465" i="1"/>
  <c r="M465" i="1"/>
  <c r="O464" i="1"/>
  <c r="O464" i="1" a="1"/>
  <c r="N464" i="1"/>
  <c r="M464" i="1"/>
  <c r="O463" i="1"/>
  <c r="O463" i="1" a="1"/>
  <c r="N463" i="1"/>
  <c r="M463" i="1"/>
  <c r="O462" i="1"/>
  <c r="O462" i="1" a="1"/>
  <c r="N462" i="1"/>
  <c r="M462" i="1"/>
  <c r="O461" i="1"/>
  <c r="O461" i="1" a="1"/>
  <c r="N461" i="1"/>
  <c r="M461" i="1"/>
  <c r="O460" i="1"/>
  <c r="O460" i="1" a="1"/>
  <c r="N460" i="1"/>
  <c r="M460" i="1"/>
  <c r="O459" i="1"/>
  <c r="O459" i="1" a="1"/>
  <c r="N459" i="1"/>
  <c r="M459" i="1"/>
  <c r="O458" i="1"/>
  <c r="O458" i="1" a="1"/>
  <c r="N458" i="1"/>
  <c r="M458" i="1"/>
  <c r="O457" i="1"/>
  <c r="O457" i="1" a="1"/>
  <c r="N457" i="1"/>
  <c r="M457" i="1"/>
  <c r="O456" i="1"/>
  <c r="O456" i="1" a="1"/>
  <c r="N456" i="1"/>
  <c r="M456" i="1"/>
  <c r="O455" i="1"/>
  <c r="O455" i="1" a="1"/>
  <c r="N455" i="1"/>
  <c r="M455" i="1"/>
  <c r="O454" i="1"/>
  <c r="O454" i="1" a="1"/>
  <c r="N454" i="1"/>
  <c r="M454" i="1"/>
  <c r="O453" i="1"/>
  <c r="O453" i="1" a="1"/>
  <c r="N453" i="1"/>
  <c r="M453" i="1"/>
  <c r="O452" i="1"/>
  <c r="O452" i="1" a="1"/>
  <c r="N452" i="1"/>
  <c r="M452" i="1"/>
  <c r="O451" i="1"/>
  <c r="O451" i="1" a="1"/>
  <c r="N451" i="1"/>
  <c r="M451" i="1"/>
  <c r="O450" i="1"/>
  <c r="O450" i="1" a="1"/>
  <c r="N450" i="1"/>
  <c r="M450" i="1"/>
  <c r="O449" i="1"/>
  <c r="O449" i="1" a="1"/>
  <c r="N449" i="1"/>
  <c r="M449" i="1"/>
  <c r="O448" i="1"/>
  <c r="O448" i="1" a="1"/>
  <c r="N448" i="1"/>
  <c r="M448" i="1"/>
  <c r="O447" i="1"/>
  <c r="O447" i="1" a="1"/>
  <c r="N447" i="1"/>
  <c r="M447" i="1"/>
  <c r="O446" i="1"/>
  <c r="O446" i="1" a="1"/>
  <c r="N446" i="1"/>
  <c r="M446" i="1"/>
  <c r="O445" i="1"/>
  <c r="O445" i="1" a="1"/>
  <c r="N445" i="1"/>
  <c r="M445" i="1"/>
  <c r="O444" i="1"/>
  <c r="O444" i="1" a="1"/>
  <c r="N444" i="1"/>
  <c r="M444" i="1"/>
  <c r="O443" i="1"/>
  <c r="O443" i="1" a="1"/>
  <c r="N443" i="1"/>
  <c r="M443" i="1"/>
  <c r="O442" i="1"/>
  <c r="O442" i="1" a="1"/>
  <c r="N442" i="1"/>
  <c r="M442" i="1"/>
  <c r="O441" i="1"/>
  <c r="O441" i="1" a="1"/>
  <c r="N441" i="1"/>
  <c r="M441" i="1"/>
  <c r="O440" i="1"/>
  <c r="O440" i="1" a="1"/>
  <c r="N440" i="1"/>
  <c r="M440" i="1"/>
  <c r="O439" i="1"/>
  <c r="O439" i="1" a="1"/>
  <c r="N439" i="1"/>
  <c r="M439" i="1"/>
  <c r="O438" i="1"/>
  <c r="O438" i="1" a="1"/>
  <c r="N438" i="1"/>
  <c r="M438" i="1"/>
  <c r="O437" i="1"/>
  <c r="O437" i="1" a="1"/>
  <c r="N437" i="1"/>
  <c r="M437" i="1"/>
  <c r="O436" i="1"/>
  <c r="O436" i="1" a="1"/>
  <c r="N436" i="1"/>
  <c r="M436" i="1"/>
  <c r="O435" i="1"/>
  <c r="O435" i="1" a="1"/>
  <c r="N435" i="1"/>
  <c r="M435" i="1"/>
  <c r="O434" i="1"/>
  <c r="O434" i="1" a="1"/>
  <c r="N434" i="1"/>
  <c r="M434" i="1"/>
  <c r="O433" i="1"/>
  <c r="O433" i="1" a="1"/>
  <c r="N433" i="1"/>
  <c r="M433" i="1"/>
  <c r="O432" i="1"/>
  <c r="O432" i="1" a="1"/>
  <c r="N432" i="1"/>
  <c r="M432" i="1"/>
  <c r="O431" i="1"/>
  <c r="O431" i="1" a="1"/>
  <c r="N431" i="1"/>
  <c r="M431" i="1"/>
  <c r="O430" i="1"/>
  <c r="O430" i="1" a="1"/>
  <c r="N430" i="1"/>
  <c r="M430" i="1"/>
  <c r="O429" i="1"/>
  <c r="O429" i="1" a="1"/>
  <c r="N429" i="1"/>
  <c r="M429" i="1"/>
  <c r="O428" i="1"/>
  <c r="O428" i="1" a="1"/>
  <c r="N428" i="1"/>
  <c r="M428" i="1"/>
  <c r="O427" i="1"/>
  <c r="O427" i="1" a="1"/>
  <c r="N427" i="1"/>
  <c r="M427" i="1"/>
  <c r="O426" i="1"/>
  <c r="O426" i="1" a="1"/>
  <c r="N426" i="1"/>
  <c r="M426" i="1"/>
  <c r="O425" i="1"/>
  <c r="O425" i="1" a="1"/>
  <c r="N425" i="1"/>
  <c r="M425" i="1"/>
  <c r="O424" i="1"/>
  <c r="O424" i="1" a="1"/>
  <c r="N424" i="1"/>
  <c r="M424" i="1"/>
  <c r="O423" i="1"/>
  <c r="O423" i="1" a="1"/>
  <c r="N423" i="1"/>
  <c r="M423" i="1"/>
  <c r="O422" i="1"/>
  <c r="O422" i="1" a="1"/>
  <c r="N422" i="1"/>
  <c r="M422" i="1"/>
  <c r="O421" i="1"/>
  <c r="O421" i="1" a="1"/>
  <c r="N421" i="1"/>
  <c r="M421" i="1"/>
  <c r="O420" i="1"/>
  <c r="O420" i="1" a="1"/>
  <c r="N420" i="1"/>
  <c r="M420" i="1"/>
  <c r="O419" i="1"/>
  <c r="O419" i="1" a="1"/>
  <c r="N419" i="1"/>
  <c r="M419" i="1"/>
  <c r="O418" i="1"/>
  <c r="O418" i="1" a="1"/>
  <c r="N418" i="1"/>
  <c r="M418" i="1"/>
  <c r="O417" i="1"/>
  <c r="O417" i="1" a="1"/>
  <c r="N417" i="1"/>
  <c r="M417" i="1"/>
  <c r="O416" i="1"/>
  <c r="O416" i="1" a="1"/>
  <c r="N416" i="1"/>
  <c r="M416" i="1"/>
  <c r="O415" i="1"/>
  <c r="O415" i="1" a="1"/>
  <c r="N415" i="1"/>
  <c r="M415" i="1"/>
  <c r="O414" i="1"/>
  <c r="O414" i="1" a="1"/>
  <c r="N414" i="1"/>
  <c r="M414" i="1"/>
  <c r="O413" i="1"/>
  <c r="O413" i="1" a="1"/>
  <c r="N413" i="1"/>
  <c r="M413" i="1"/>
  <c r="O412" i="1"/>
  <c r="O412" i="1" a="1"/>
  <c r="N412" i="1"/>
  <c r="M412" i="1"/>
  <c r="O411" i="1"/>
  <c r="O411" i="1" a="1"/>
  <c r="N411" i="1"/>
  <c r="M411" i="1"/>
  <c r="O410" i="1"/>
  <c r="O410" i="1" a="1"/>
  <c r="N410" i="1"/>
  <c r="M410" i="1"/>
  <c r="O409" i="1"/>
  <c r="O409" i="1" a="1"/>
  <c r="N409" i="1"/>
  <c r="M409" i="1"/>
  <c r="O408" i="1"/>
  <c r="O408" i="1" a="1"/>
  <c r="N408" i="1"/>
  <c r="M408" i="1"/>
  <c r="O407" i="1"/>
  <c r="O407" i="1" a="1"/>
  <c r="N407" i="1"/>
  <c r="M407" i="1"/>
  <c r="O406" i="1"/>
  <c r="O406" i="1" a="1"/>
  <c r="N406" i="1"/>
  <c r="M406" i="1"/>
  <c r="O405" i="1"/>
  <c r="O405" i="1" a="1"/>
  <c r="N405" i="1"/>
  <c r="M405" i="1"/>
  <c r="O404" i="1"/>
  <c r="O404" i="1" a="1"/>
  <c r="N404" i="1"/>
  <c r="M404" i="1"/>
  <c r="O403" i="1"/>
  <c r="O403" i="1" a="1"/>
  <c r="N403" i="1"/>
  <c r="M403" i="1"/>
  <c r="O402" i="1"/>
  <c r="O402" i="1" a="1"/>
  <c r="N402" i="1"/>
  <c r="M402" i="1"/>
  <c r="O401" i="1"/>
  <c r="O401" i="1" a="1"/>
  <c r="N401" i="1"/>
  <c r="M401" i="1"/>
  <c r="O400" i="1"/>
  <c r="O400" i="1" a="1"/>
  <c r="N400" i="1"/>
  <c r="M400" i="1"/>
  <c r="O399" i="1"/>
  <c r="O399" i="1" a="1"/>
  <c r="N399" i="1"/>
  <c r="M399" i="1"/>
  <c r="O398" i="1"/>
  <c r="O398" i="1" a="1"/>
  <c r="N398" i="1"/>
  <c r="M398" i="1"/>
  <c r="O397" i="1"/>
  <c r="O397" i="1" a="1"/>
  <c r="N397" i="1"/>
  <c r="M397" i="1"/>
  <c r="O396" i="1"/>
  <c r="O396" i="1" a="1"/>
  <c r="N396" i="1"/>
  <c r="M396" i="1"/>
  <c r="O395" i="1"/>
  <c r="O395" i="1" a="1"/>
  <c r="N395" i="1"/>
  <c r="M395" i="1"/>
  <c r="O394" i="1"/>
  <c r="O394" i="1" a="1"/>
  <c r="N394" i="1"/>
  <c r="M394" i="1"/>
  <c r="O393" i="1"/>
  <c r="O393" i="1" a="1"/>
  <c r="N393" i="1"/>
  <c r="M393" i="1"/>
  <c r="O392" i="1"/>
  <c r="O392" i="1" a="1"/>
  <c r="N392" i="1"/>
  <c r="M392" i="1"/>
  <c r="O391" i="1"/>
  <c r="O391" i="1" a="1"/>
  <c r="N391" i="1"/>
  <c r="M391" i="1"/>
  <c r="O390" i="1"/>
  <c r="O390" i="1" a="1"/>
  <c r="N390" i="1"/>
  <c r="M390" i="1"/>
  <c r="O389" i="1"/>
  <c r="O389" i="1" a="1"/>
  <c r="N389" i="1"/>
  <c r="M389" i="1"/>
  <c r="O388" i="1"/>
  <c r="O388" i="1" a="1"/>
  <c r="N388" i="1"/>
  <c r="M388" i="1"/>
  <c r="O387" i="1"/>
  <c r="O387" i="1" a="1"/>
  <c r="N387" i="1"/>
  <c r="M387" i="1"/>
  <c r="O386" i="1"/>
  <c r="O386" i="1" a="1"/>
  <c r="N386" i="1"/>
  <c r="M386" i="1"/>
  <c r="O385" i="1"/>
  <c r="O385" i="1" a="1"/>
  <c r="N385" i="1"/>
  <c r="M385" i="1"/>
  <c r="O384" i="1"/>
  <c r="O384" i="1" a="1"/>
  <c r="N384" i="1"/>
  <c r="M384" i="1"/>
  <c r="O383" i="1"/>
  <c r="O383" i="1" a="1"/>
  <c r="N383" i="1"/>
  <c r="M383" i="1"/>
  <c r="O382" i="1"/>
  <c r="O382" i="1" a="1"/>
  <c r="N382" i="1"/>
  <c r="M382" i="1"/>
  <c r="O381" i="1"/>
  <c r="O381" i="1" a="1"/>
  <c r="N381" i="1"/>
  <c r="M381" i="1"/>
  <c r="O380" i="1"/>
  <c r="O380" i="1" a="1"/>
  <c r="N380" i="1"/>
  <c r="M380" i="1"/>
  <c r="O379" i="1"/>
  <c r="O379" i="1" a="1"/>
  <c r="N379" i="1"/>
  <c r="M379" i="1"/>
  <c r="O378" i="1"/>
  <c r="O378" i="1" a="1"/>
  <c r="N378" i="1"/>
  <c r="M378" i="1"/>
  <c r="O377" i="1"/>
  <c r="O377" i="1" a="1"/>
  <c r="N377" i="1"/>
  <c r="M377" i="1"/>
  <c r="O376" i="1"/>
  <c r="O376" i="1" a="1"/>
  <c r="N376" i="1"/>
  <c r="M376" i="1"/>
  <c r="O375" i="1"/>
  <c r="O375" i="1" a="1"/>
  <c r="N375" i="1"/>
  <c r="M375" i="1"/>
  <c r="O374" i="1"/>
  <c r="O374" i="1" a="1"/>
  <c r="N374" i="1"/>
  <c r="M374" i="1"/>
  <c r="O373" i="1"/>
  <c r="O373" i="1" a="1"/>
  <c r="N373" i="1"/>
  <c r="M373" i="1"/>
  <c r="O372" i="1"/>
  <c r="O372" i="1" a="1"/>
  <c r="N372" i="1"/>
  <c r="M372" i="1"/>
  <c r="O371" i="1"/>
  <c r="O371" i="1" a="1"/>
  <c r="N371" i="1"/>
  <c r="M371" i="1"/>
  <c r="O370" i="1"/>
  <c r="O370" i="1" a="1"/>
  <c r="N370" i="1"/>
  <c r="M370" i="1"/>
  <c r="O369" i="1"/>
  <c r="O369" i="1" a="1"/>
  <c r="N369" i="1"/>
  <c r="M369" i="1"/>
  <c r="O368" i="1"/>
  <c r="O368" i="1" a="1"/>
  <c r="N368" i="1"/>
  <c r="M368" i="1"/>
  <c r="O367" i="1"/>
  <c r="O367" i="1" a="1"/>
  <c r="N367" i="1"/>
  <c r="M367" i="1"/>
  <c r="O366" i="1"/>
  <c r="O366" i="1" a="1"/>
  <c r="N366" i="1"/>
  <c r="M366" i="1"/>
  <c r="O365" i="1"/>
  <c r="O365" i="1" a="1"/>
  <c r="N365" i="1"/>
  <c r="M365" i="1"/>
  <c r="O364" i="1"/>
  <c r="O364" i="1" a="1"/>
  <c r="N364" i="1"/>
  <c r="M364" i="1"/>
  <c r="O363" i="1"/>
  <c r="O363" i="1" a="1"/>
  <c r="N363" i="1"/>
  <c r="M363" i="1"/>
  <c r="O362" i="1"/>
  <c r="O362" i="1" a="1"/>
  <c r="N362" i="1"/>
  <c r="M362" i="1"/>
  <c r="O361" i="1"/>
  <c r="O361" i="1" a="1"/>
  <c r="N361" i="1"/>
  <c r="M361" i="1"/>
  <c r="O360" i="1"/>
  <c r="O360" i="1" a="1"/>
  <c r="N360" i="1"/>
  <c r="M360" i="1"/>
  <c r="O359" i="1"/>
  <c r="O359" i="1" a="1"/>
  <c r="N359" i="1"/>
  <c r="M359" i="1"/>
  <c r="O358" i="1"/>
  <c r="O358" i="1" a="1"/>
  <c r="N358" i="1"/>
  <c r="M358" i="1"/>
  <c r="O357" i="1"/>
  <c r="O357" i="1" a="1"/>
  <c r="N357" i="1"/>
  <c r="M357" i="1"/>
  <c r="O356" i="1"/>
  <c r="O356" i="1" a="1"/>
  <c r="N356" i="1"/>
  <c r="M356" i="1"/>
  <c r="O355" i="1"/>
  <c r="O355" i="1" a="1"/>
  <c r="N355" i="1"/>
  <c r="M355" i="1"/>
  <c r="O354" i="1"/>
  <c r="O354" i="1" a="1"/>
  <c r="N354" i="1"/>
  <c r="M354" i="1"/>
  <c r="O353" i="1"/>
  <c r="O353" i="1" a="1"/>
  <c r="N353" i="1"/>
  <c r="M353" i="1"/>
  <c r="O352" i="1"/>
  <c r="O352" i="1" a="1"/>
  <c r="N352" i="1"/>
  <c r="M352" i="1"/>
  <c r="O351" i="1"/>
  <c r="O351" i="1" a="1"/>
  <c r="N351" i="1"/>
  <c r="M351" i="1"/>
  <c r="O350" i="1"/>
  <c r="O350" i="1" a="1"/>
  <c r="N350" i="1"/>
  <c r="M350" i="1"/>
  <c r="O349" i="1"/>
  <c r="O349" i="1" a="1"/>
  <c r="N349" i="1"/>
  <c r="M349" i="1"/>
  <c r="O348" i="1"/>
  <c r="O348" i="1" a="1"/>
  <c r="N348" i="1"/>
  <c r="M348" i="1"/>
  <c r="O347" i="1"/>
  <c r="O347" i="1" a="1"/>
  <c r="N347" i="1"/>
  <c r="M347" i="1"/>
  <c r="O346" i="1"/>
  <c r="O346" i="1" a="1"/>
  <c r="N346" i="1"/>
  <c r="M346" i="1"/>
  <c r="O345" i="1"/>
  <c r="O345" i="1" a="1"/>
  <c r="N345" i="1"/>
  <c r="M345" i="1"/>
  <c r="O344" i="1"/>
  <c r="O344" i="1" a="1"/>
  <c r="N344" i="1"/>
  <c r="M344" i="1"/>
  <c r="O343" i="1"/>
  <c r="O343" i="1" a="1"/>
  <c r="N343" i="1"/>
  <c r="M343" i="1"/>
  <c r="O342" i="1"/>
  <c r="O342" i="1" a="1"/>
  <c r="N342" i="1"/>
  <c r="M342" i="1"/>
  <c r="O341" i="1"/>
  <c r="O341" i="1" a="1"/>
  <c r="N341" i="1"/>
  <c r="M341" i="1"/>
  <c r="O340" i="1"/>
  <c r="O340" i="1" a="1"/>
  <c r="N340" i="1"/>
  <c r="M340" i="1"/>
  <c r="O339" i="1"/>
  <c r="O339" i="1" a="1"/>
  <c r="N339" i="1"/>
  <c r="M339" i="1"/>
  <c r="O338" i="1"/>
  <c r="O338" i="1" a="1"/>
  <c r="N338" i="1"/>
  <c r="M338" i="1"/>
  <c r="O337" i="1"/>
  <c r="O337" i="1" a="1"/>
  <c r="N337" i="1"/>
  <c r="M337" i="1"/>
  <c r="O336" i="1"/>
  <c r="O336" i="1" a="1"/>
  <c r="N336" i="1"/>
  <c r="M336" i="1"/>
  <c r="O335" i="1"/>
  <c r="O335" i="1" a="1"/>
  <c r="N335" i="1"/>
  <c r="M335" i="1"/>
  <c r="O334" i="1"/>
  <c r="O334" i="1" a="1"/>
  <c r="N334" i="1"/>
  <c r="M334" i="1"/>
  <c r="O333" i="1"/>
  <c r="O333" i="1" a="1"/>
  <c r="N333" i="1"/>
  <c r="M333" i="1"/>
  <c r="O332" i="1"/>
  <c r="O332" i="1" a="1"/>
  <c r="N332" i="1"/>
  <c r="M332" i="1"/>
  <c r="O331" i="1"/>
  <c r="O331" i="1" a="1"/>
  <c r="N331" i="1"/>
  <c r="M331" i="1"/>
  <c r="O330" i="1"/>
  <c r="O330" i="1" a="1"/>
  <c r="N330" i="1"/>
  <c r="M330" i="1"/>
  <c r="O329" i="1"/>
  <c r="O329" i="1" a="1"/>
  <c r="N329" i="1"/>
  <c r="M329" i="1"/>
  <c r="O328" i="1"/>
  <c r="O328" i="1" a="1"/>
  <c r="N328" i="1"/>
  <c r="M328" i="1"/>
  <c r="O327" i="1"/>
  <c r="O327" i="1" a="1"/>
  <c r="N327" i="1"/>
  <c r="M327" i="1"/>
  <c r="O326" i="1"/>
  <c r="O326" i="1" a="1"/>
  <c r="N326" i="1"/>
  <c r="M326" i="1"/>
  <c r="O325" i="1"/>
  <c r="O325" i="1" a="1"/>
  <c r="N325" i="1"/>
  <c r="M325" i="1"/>
  <c r="O324" i="1"/>
  <c r="O324" i="1" a="1"/>
  <c r="N324" i="1"/>
  <c r="M324" i="1"/>
  <c r="O323" i="1"/>
  <c r="O323" i="1" a="1"/>
  <c r="N323" i="1"/>
  <c r="M323" i="1"/>
  <c r="O322" i="1"/>
  <c r="O322" i="1" a="1"/>
  <c r="N322" i="1"/>
  <c r="M322" i="1"/>
  <c r="O321" i="1"/>
  <c r="O321" i="1" a="1"/>
  <c r="N321" i="1"/>
  <c r="M321" i="1"/>
  <c r="O320" i="1"/>
  <c r="O320" i="1" a="1"/>
  <c r="N320" i="1"/>
  <c r="M320" i="1"/>
  <c r="O319" i="1"/>
  <c r="O319" i="1" a="1"/>
  <c r="N319" i="1"/>
  <c r="M319" i="1"/>
  <c r="O318" i="1"/>
  <c r="O318" i="1" a="1"/>
  <c r="N318" i="1"/>
  <c r="M318" i="1"/>
  <c r="O317" i="1"/>
  <c r="O317" i="1" a="1"/>
  <c r="N317" i="1"/>
  <c r="M317" i="1"/>
  <c r="O316" i="1"/>
  <c r="O316" i="1" a="1"/>
  <c r="N316" i="1"/>
  <c r="M316" i="1"/>
  <c r="O315" i="1"/>
  <c r="O315" i="1" a="1"/>
  <c r="N315" i="1"/>
  <c r="M315" i="1"/>
  <c r="O314" i="1"/>
  <c r="O314" i="1" a="1"/>
  <c r="N314" i="1"/>
  <c r="M314" i="1"/>
  <c r="O313" i="1"/>
  <c r="O313" i="1" a="1"/>
  <c r="N313" i="1"/>
  <c r="M313" i="1"/>
  <c r="O312" i="1"/>
  <c r="O312" i="1" a="1"/>
  <c r="N312" i="1"/>
  <c r="M312" i="1"/>
  <c r="O311" i="1"/>
  <c r="O311" i="1" a="1"/>
  <c r="N311" i="1"/>
  <c r="M311" i="1"/>
  <c r="O310" i="1"/>
  <c r="O310" i="1" a="1"/>
  <c r="N310" i="1"/>
  <c r="M310" i="1"/>
  <c r="O309" i="1"/>
  <c r="O309" i="1" a="1"/>
  <c r="N309" i="1"/>
  <c r="M309" i="1"/>
  <c r="O308" i="1"/>
  <c r="O308" i="1" a="1"/>
  <c r="N308" i="1"/>
  <c r="M308" i="1"/>
  <c r="O307" i="1"/>
  <c r="O307" i="1" a="1"/>
  <c r="N307" i="1"/>
  <c r="M307" i="1"/>
  <c r="O306" i="1"/>
  <c r="O306" i="1" a="1"/>
  <c r="N306" i="1"/>
  <c r="M306" i="1"/>
  <c r="O305" i="1"/>
  <c r="O305" i="1" a="1"/>
  <c r="N305" i="1"/>
  <c r="M305" i="1"/>
  <c r="O304" i="1"/>
  <c r="O304" i="1" a="1"/>
  <c r="N304" i="1"/>
  <c r="M304" i="1"/>
  <c r="O303" i="1"/>
  <c r="O303" i="1" a="1"/>
  <c r="N303" i="1"/>
  <c r="M303" i="1"/>
  <c r="O302" i="1"/>
  <c r="O302" i="1" a="1"/>
  <c r="N302" i="1"/>
  <c r="M302" i="1"/>
  <c r="O301" i="1"/>
  <c r="O301" i="1" a="1"/>
  <c r="N301" i="1"/>
  <c r="M301" i="1"/>
  <c r="O300" i="1"/>
  <c r="O300" i="1" a="1"/>
  <c r="N300" i="1"/>
  <c r="M300" i="1"/>
  <c r="O299" i="1"/>
  <c r="O299" i="1" a="1"/>
  <c r="N299" i="1"/>
  <c r="M299" i="1"/>
  <c r="O298" i="1"/>
  <c r="O298" i="1" a="1"/>
  <c r="N298" i="1"/>
  <c r="M298" i="1"/>
  <c r="O297" i="1"/>
  <c r="O297" i="1" a="1"/>
  <c r="N297" i="1"/>
  <c r="M297" i="1"/>
  <c r="O296" i="1"/>
  <c r="O296" i="1" a="1"/>
  <c r="N296" i="1"/>
  <c r="M296" i="1"/>
  <c r="O295" i="1"/>
  <c r="O295" i="1" a="1"/>
  <c r="N295" i="1"/>
  <c r="M295" i="1"/>
  <c r="O294" i="1"/>
  <c r="O294" i="1" a="1"/>
  <c r="N294" i="1"/>
  <c r="M294" i="1"/>
  <c r="O293" i="1"/>
  <c r="O293" i="1" a="1"/>
  <c r="N293" i="1"/>
  <c r="M293" i="1"/>
  <c r="O292" i="1"/>
  <c r="O292" i="1" a="1"/>
  <c r="N292" i="1"/>
  <c r="M292" i="1"/>
  <c r="O291" i="1"/>
  <c r="O291" i="1" a="1"/>
  <c r="N291" i="1"/>
  <c r="M291" i="1"/>
  <c r="O290" i="1"/>
  <c r="O290" i="1" a="1"/>
  <c r="N290" i="1"/>
  <c r="M290" i="1"/>
  <c r="O289" i="1"/>
  <c r="O289" i="1" a="1"/>
  <c r="N289" i="1"/>
  <c r="M289" i="1"/>
  <c r="O288" i="1"/>
  <c r="O288" i="1" a="1"/>
  <c r="N288" i="1"/>
  <c r="M288" i="1"/>
  <c r="O287" i="1"/>
  <c r="O287" i="1" a="1"/>
  <c r="N287" i="1"/>
  <c r="M287" i="1"/>
  <c r="O286" i="1"/>
  <c r="O286" i="1" a="1"/>
  <c r="N286" i="1"/>
  <c r="M286" i="1"/>
  <c r="O285" i="1"/>
  <c r="O285" i="1" a="1"/>
  <c r="N285" i="1"/>
  <c r="M285" i="1"/>
  <c r="O284" i="1"/>
  <c r="O284" i="1" a="1"/>
  <c r="N284" i="1"/>
  <c r="M284" i="1"/>
  <c r="O283" i="1"/>
  <c r="O283" i="1" a="1"/>
  <c r="N283" i="1"/>
  <c r="M283" i="1"/>
  <c r="O282" i="1"/>
  <c r="O282" i="1" a="1"/>
  <c r="N282" i="1"/>
  <c r="M282" i="1"/>
  <c r="O281" i="1"/>
  <c r="O281" i="1" a="1"/>
  <c r="N281" i="1"/>
  <c r="M281" i="1"/>
  <c r="O280" i="1"/>
  <c r="O280" i="1" a="1"/>
  <c r="N280" i="1"/>
  <c r="M280" i="1"/>
  <c r="O279" i="1"/>
  <c r="O279" i="1" a="1"/>
  <c r="N279" i="1"/>
  <c r="M279" i="1"/>
  <c r="O278" i="1"/>
  <c r="O278" i="1" a="1"/>
  <c r="N278" i="1"/>
  <c r="M278" i="1"/>
  <c r="O277" i="1"/>
  <c r="O277" i="1" a="1"/>
  <c r="N277" i="1"/>
  <c r="M277" i="1"/>
  <c r="O276" i="1"/>
  <c r="O276" i="1" a="1"/>
  <c r="N276" i="1"/>
  <c r="M276" i="1"/>
  <c r="O275" i="1"/>
  <c r="O275" i="1" a="1"/>
  <c r="N275" i="1"/>
  <c r="M275" i="1"/>
  <c r="O274" i="1"/>
  <c r="O274" i="1" a="1"/>
  <c r="N274" i="1"/>
  <c r="M274" i="1"/>
  <c r="O273" i="1"/>
  <c r="O273" i="1" a="1"/>
  <c r="N273" i="1"/>
  <c r="M273" i="1"/>
  <c r="O272" i="1"/>
  <c r="O272" i="1" a="1"/>
  <c r="N272" i="1"/>
  <c r="M272" i="1"/>
  <c r="O271" i="1"/>
  <c r="O271" i="1" a="1"/>
  <c r="N271" i="1"/>
  <c r="M271" i="1"/>
  <c r="O270" i="1"/>
  <c r="O270" i="1" a="1"/>
  <c r="N270" i="1"/>
  <c r="M270" i="1"/>
  <c r="O269" i="1"/>
  <c r="O269" i="1" a="1"/>
  <c r="N269" i="1"/>
  <c r="M269" i="1"/>
  <c r="O268" i="1"/>
  <c r="O268" i="1" a="1"/>
  <c r="N268" i="1"/>
  <c r="M268" i="1"/>
  <c r="O267" i="1"/>
  <c r="O267" i="1" a="1"/>
  <c r="N267" i="1"/>
  <c r="M267" i="1"/>
  <c r="O266" i="1"/>
  <c r="O266" i="1" a="1"/>
  <c r="N266" i="1"/>
  <c r="M266" i="1"/>
  <c r="O265" i="1"/>
  <c r="O265" i="1" a="1"/>
  <c r="N265" i="1"/>
  <c r="M265" i="1"/>
  <c r="O264" i="1"/>
  <c r="O264" i="1" a="1"/>
  <c r="N264" i="1"/>
  <c r="M264" i="1"/>
  <c r="O263" i="1"/>
  <c r="O263" i="1" a="1"/>
  <c r="N263" i="1"/>
  <c r="M263" i="1"/>
  <c r="O262" i="1"/>
  <c r="O262" i="1" a="1"/>
  <c r="N262" i="1"/>
  <c r="M262" i="1"/>
  <c r="O261" i="1"/>
  <c r="O261" i="1" a="1"/>
  <c r="N261" i="1"/>
  <c r="M261" i="1"/>
  <c r="O260" i="1"/>
  <c r="O260" i="1" a="1"/>
  <c r="N260" i="1"/>
  <c r="M260" i="1"/>
  <c r="O259" i="1"/>
  <c r="O259" i="1" a="1"/>
  <c r="N259" i="1"/>
  <c r="M259" i="1"/>
  <c r="O258" i="1"/>
  <c r="O258" i="1" a="1"/>
  <c r="N258" i="1"/>
  <c r="M258" i="1"/>
  <c r="O257" i="1"/>
  <c r="O257" i="1" a="1"/>
  <c r="N257" i="1"/>
  <c r="M257" i="1"/>
  <c r="O256" i="1"/>
  <c r="O256" i="1" a="1"/>
  <c r="N256" i="1"/>
  <c r="M256" i="1"/>
  <c r="O255" i="1"/>
  <c r="O255" i="1" a="1"/>
  <c r="N255" i="1"/>
  <c r="M255" i="1"/>
  <c r="O254" i="1"/>
  <c r="O254" i="1" a="1"/>
  <c r="N254" i="1"/>
  <c r="M254" i="1"/>
  <c r="O253" i="1"/>
  <c r="O253" i="1" a="1"/>
  <c r="N253" i="1"/>
  <c r="M253" i="1"/>
  <c r="O252" i="1"/>
  <c r="O252" i="1" a="1"/>
  <c r="N252" i="1"/>
  <c r="M252" i="1"/>
  <c r="O251" i="1"/>
  <c r="O251" i="1" a="1"/>
  <c r="N251" i="1"/>
  <c r="M251" i="1"/>
  <c r="O250" i="1"/>
  <c r="O250" i="1" a="1"/>
  <c r="N250" i="1"/>
  <c r="M250" i="1"/>
  <c r="O249" i="1"/>
  <c r="O249" i="1" a="1"/>
  <c r="N249" i="1"/>
  <c r="M249" i="1"/>
  <c r="O248" i="1"/>
  <c r="O248" i="1" a="1"/>
  <c r="N248" i="1"/>
  <c r="M248" i="1"/>
  <c r="O247" i="1"/>
  <c r="O247" i="1" a="1"/>
  <c r="N247" i="1"/>
  <c r="M247" i="1"/>
  <c r="O246" i="1"/>
  <c r="O246" i="1" a="1"/>
  <c r="N246" i="1"/>
  <c r="M246" i="1"/>
  <c r="O245" i="1"/>
  <c r="O245" i="1" a="1"/>
  <c r="N245" i="1"/>
  <c r="M245" i="1"/>
  <c r="O244" i="1"/>
  <c r="O244" i="1" a="1"/>
  <c r="N244" i="1"/>
  <c r="M244" i="1"/>
  <c r="O243" i="1"/>
  <c r="O243" i="1" a="1"/>
  <c r="N243" i="1"/>
  <c r="M243" i="1"/>
  <c r="O242" i="1"/>
  <c r="O242" i="1" a="1"/>
  <c r="N242" i="1"/>
  <c r="M242" i="1"/>
  <c r="O241" i="1"/>
  <c r="O241" i="1" a="1"/>
  <c r="N241" i="1"/>
  <c r="M241" i="1"/>
  <c r="O240" i="1"/>
  <c r="O240" i="1" a="1"/>
  <c r="N240" i="1"/>
  <c r="M240" i="1"/>
  <c r="O239" i="1"/>
  <c r="O239" i="1" a="1"/>
  <c r="N239" i="1"/>
  <c r="M239" i="1"/>
  <c r="O238" i="1"/>
  <c r="O238" i="1" a="1"/>
  <c r="N238" i="1"/>
  <c r="M238" i="1"/>
  <c r="O237" i="1"/>
  <c r="O237" i="1" a="1"/>
  <c r="N237" i="1"/>
  <c r="M237" i="1"/>
  <c r="O236" i="1"/>
  <c r="O236" i="1" a="1"/>
  <c r="N236" i="1"/>
  <c r="M236" i="1"/>
  <c r="O235" i="1"/>
  <c r="O235" i="1" a="1"/>
  <c r="N235" i="1"/>
  <c r="M235" i="1"/>
  <c r="O234" i="1"/>
  <c r="O234" i="1" a="1"/>
  <c r="N234" i="1"/>
  <c r="M234" i="1"/>
  <c r="O233" i="1"/>
  <c r="O233" i="1" a="1"/>
  <c r="N233" i="1"/>
  <c r="M233" i="1"/>
  <c r="O232" i="1"/>
  <c r="O232" i="1" a="1"/>
  <c r="N232" i="1"/>
  <c r="M232" i="1"/>
  <c r="O231" i="1"/>
  <c r="O231" i="1" a="1"/>
  <c r="N231" i="1"/>
  <c r="M231" i="1"/>
  <c r="O230" i="1"/>
  <c r="O230" i="1" a="1"/>
  <c r="N230" i="1"/>
  <c r="M230" i="1"/>
  <c r="O229" i="1"/>
  <c r="O229" i="1" a="1"/>
  <c r="N229" i="1"/>
  <c r="M229" i="1"/>
  <c r="O228" i="1"/>
  <c r="O228" i="1" a="1"/>
  <c r="N228" i="1"/>
  <c r="M228" i="1"/>
  <c r="O227" i="1"/>
  <c r="O227" i="1" a="1"/>
  <c r="N227" i="1"/>
  <c r="M227" i="1"/>
  <c r="O226" i="1"/>
  <c r="O226" i="1" a="1"/>
  <c r="N226" i="1"/>
  <c r="M226" i="1"/>
  <c r="O225" i="1"/>
  <c r="O225" i="1" a="1"/>
  <c r="N225" i="1"/>
  <c r="M225" i="1"/>
  <c r="O224" i="1"/>
  <c r="O224" i="1" a="1"/>
  <c r="N224" i="1"/>
  <c r="M224" i="1"/>
  <c r="O223" i="1"/>
  <c r="O223" i="1" a="1"/>
  <c r="N223" i="1"/>
  <c r="M223" i="1"/>
  <c r="O222" i="1"/>
  <c r="O222" i="1" a="1"/>
  <c r="N222" i="1"/>
  <c r="M222" i="1"/>
  <c r="O221" i="1"/>
  <c r="O221" i="1" a="1"/>
  <c r="N221" i="1"/>
  <c r="M221" i="1"/>
  <c r="O220" i="1"/>
  <c r="O220" i="1" a="1"/>
  <c r="N220" i="1"/>
  <c r="M220" i="1"/>
  <c r="O219" i="1"/>
  <c r="O219" i="1" a="1"/>
  <c r="N219" i="1"/>
  <c r="M219" i="1"/>
  <c r="O218" i="1"/>
  <c r="O218" i="1" a="1"/>
  <c r="N218" i="1"/>
  <c r="M218" i="1"/>
  <c r="O217" i="1"/>
  <c r="O217" i="1" a="1"/>
  <c r="N217" i="1"/>
  <c r="M217" i="1"/>
  <c r="O216" i="1"/>
  <c r="O216" i="1" a="1"/>
  <c r="N216" i="1"/>
  <c r="M216" i="1"/>
  <c r="O215" i="1"/>
  <c r="O215" i="1" a="1"/>
  <c r="N215" i="1"/>
  <c r="M215" i="1"/>
  <c r="O214" i="1"/>
  <c r="O214" i="1" a="1"/>
  <c r="N214" i="1"/>
  <c r="M214" i="1"/>
  <c r="O213" i="1"/>
  <c r="O213" i="1" a="1"/>
  <c r="N213" i="1"/>
  <c r="M213" i="1"/>
  <c r="O212" i="1"/>
  <c r="O212" i="1" a="1"/>
  <c r="N212" i="1"/>
  <c r="M212" i="1"/>
  <c r="O211" i="1"/>
  <c r="O211" i="1" a="1"/>
  <c r="N211" i="1"/>
  <c r="M211" i="1"/>
  <c r="O210" i="1"/>
  <c r="O210" i="1" a="1"/>
  <c r="N210" i="1"/>
  <c r="M210" i="1"/>
  <c r="O209" i="1"/>
  <c r="O209" i="1" a="1"/>
  <c r="N209" i="1"/>
  <c r="M209" i="1"/>
  <c r="O208" i="1"/>
  <c r="O208" i="1" a="1"/>
  <c r="N208" i="1"/>
  <c r="M208" i="1"/>
  <c r="O207" i="1"/>
  <c r="O207" i="1" a="1"/>
  <c r="N207" i="1"/>
  <c r="M207" i="1"/>
  <c r="O206" i="1"/>
  <c r="O206" i="1" a="1"/>
  <c r="N206" i="1"/>
  <c r="M206" i="1"/>
  <c r="O205" i="1"/>
  <c r="O205" i="1" a="1"/>
  <c r="N205" i="1"/>
  <c r="M205" i="1"/>
  <c r="O204" i="1"/>
  <c r="O204" i="1" a="1"/>
  <c r="N204" i="1"/>
  <c r="M204" i="1"/>
  <c r="O203" i="1"/>
  <c r="O203" i="1" a="1"/>
  <c r="N203" i="1"/>
  <c r="M203" i="1"/>
  <c r="O202" i="1"/>
  <c r="O202" i="1" a="1"/>
  <c r="N202" i="1"/>
  <c r="M202" i="1"/>
  <c r="O201" i="1"/>
  <c r="O201" i="1" a="1"/>
  <c r="N201" i="1"/>
  <c r="M201" i="1"/>
  <c r="O200" i="1"/>
  <c r="O200" i="1" a="1"/>
  <c r="N200" i="1"/>
  <c r="M200" i="1"/>
  <c r="O199" i="1"/>
  <c r="O199" i="1" a="1"/>
  <c r="N199" i="1"/>
  <c r="M199" i="1"/>
  <c r="O198" i="1"/>
  <c r="O198" i="1" a="1"/>
  <c r="N198" i="1"/>
  <c r="M198" i="1"/>
  <c r="O197" i="1"/>
  <c r="O197" i="1" a="1"/>
  <c r="N197" i="1"/>
  <c r="M197" i="1"/>
  <c r="O196" i="1"/>
  <c r="O196" i="1" a="1"/>
  <c r="N196" i="1"/>
  <c r="M196" i="1"/>
  <c r="O195" i="1"/>
  <c r="O195" i="1" a="1"/>
  <c r="N195" i="1"/>
  <c r="M195" i="1"/>
  <c r="O194" i="1"/>
  <c r="O194" i="1" a="1"/>
  <c r="N194" i="1"/>
  <c r="M194" i="1"/>
  <c r="O193" i="1"/>
  <c r="O193" i="1" a="1"/>
  <c r="N193" i="1"/>
  <c r="M193" i="1"/>
  <c r="O192" i="1"/>
  <c r="O192" i="1" a="1"/>
  <c r="N192" i="1"/>
  <c r="M192" i="1"/>
  <c r="O191" i="1"/>
  <c r="O191" i="1" a="1"/>
  <c r="N191" i="1"/>
  <c r="M191" i="1"/>
  <c r="O190" i="1"/>
  <c r="O190" i="1" a="1"/>
  <c r="N190" i="1"/>
  <c r="M190" i="1"/>
  <c r="O189" i="1"/>
  <c r="O189" i="1" a="1"/>
  <c r="N189" i="1"/>
  <c r="M189" i="1"/>
  <c r="O188" i="1"/>
  <c r="O188" i="1" a="1"/>
  <c r="N188" i="1"/>
  <c r="M188" i="1"/>
  <c r="O187" i="1"/>
  <c r="O187" i="1" a="1"/>
  <c r="N187" i="1"/>
  <c r="M187" i="1"/>
  <c r="O186" i="1"/>
  <c r="O186" i="1" a="1"/>
  <c r="N186" i="1"/>
  <c r="M186" i="1"/>
  <c r="O185" i="1"/>
  <c r="O185" i="1" a="1"/>
  <c r="N185" i="1"/>
  <c r="M185" i="1"/>
  <c r="O184" i="1"/>
  <c r="O184" i="1" a="1"/>
  <c r="N184" i="1"/>
  <c r="M184" i="1"/>
  <c r="O183" i="1"/>
  <c r="O183" i="1" a="1"/>
  <c r="N183" i="1"/>
  <c r="M183" i="1"/>
  <c r="O182" i="1"/>
  <c r="O182" i="1" a="1"/>
  <c r="N182" i="1"/>
  <c r="M182" i="1"/>
  <c r="O181" i="1"/>
  <c r="O181" i="1" a="1"/>
  <c r="N181" i="1"/>
  <c r="M181" i="1"/>
  <c r="O180" i="1"/>
  <c r="O180" i="1" a="1"/>
  <c r="N180" i="1"/>
  <c r="M180" i="1"/>
  <c r="O179" i="1"/>
  <c r="O179" i="1" a="1"/>
  <c r="N179" i="1"/>
  <c r="M179" i="1"/>
  <c r="O178" i="1"/>
  <c r="O178" i="1" a="1"/>
  <c r="N178" i="1"/>
  <c r="M178" i="1"/>
  <c r="O177" i="1"/>
  <c r="O177" i="1" a="1"/>
  <c r="N177" i="1"/>
  <c r="M177" i="1"/>
  <c r="O176" i="1"/>
  <c r="O176" i="1" a="1"/>
  <c r="N176" i="1"/>
  <c r="M176" i="1"/>
  <c r="O175" i="1"/>
  <c r="O175" i="1" a="1"/>
  <c r="N175" i="1"/>
  <c r="M175" i="1"/>
  <c r="O174" i="1"/>
  <c r="O174" i="1" a="1"/>
  <c r="N174" i="1"/>
  <c r="M174" i="1"/>
  <c r="O173" i="1"/>
  <c r="O173" i="1" a="1"/>
  <c r="N173" i="1"/>
  <c r="M173" i="1"/>
  <c r="O172" i="1"/>
  <c r="O172" i="1" a="1"/>
  <c r="N172" i="1"/>
  <c r="M172" i="1"/>
  <c r="O171" i="1"/>
  <c r="O171" i="1" a="1"/>
  <c r="N171" i="1"/>
  <c r="M171" i="1"/>
  <c r="O170" i="1"/>
  <c r="O170" i="1" a="1"/>
  <c r="N170" i="1"/>
  <c r="M170" i="1"/>
  <c r="O169" i="1"/>
  <c r="O169" i="1" a="1"/>
  <c r="N169" i="1"/>
  <c r="M169" i="1"/>
  <c r="O168" i="1"/>
  <c r="O168" i="1" a="1"/>
  <c r="N168" i="1"/>
  <c r="M168" i="1"/>
  <c r="O167" i="1"/>
  <c r="O167" i="1" a="1"/>
  <c r="N167" i="1"/>
  <c r="M167" i="1"/>
  <c r="O166" i="1"/>
  <c r="O166" i="1" a="1"/>
  <c r="N166" i="1"/>
  <c r="M166" i="1"/>
  <c r="O165" i="1"/>
  <c r="O165" i="1" a="1"/>
  <c r="N165" i="1"/>
  <c r="M165" i="1"/>
  <c r="O164" i="1"/>
  <c r="O164" i="1" a="1"/>
  <c r="N164" i="1"/>
  <c r="M164" i="1"/>
  <c r="O163" i="1"/>
  <c r="O163" i="1" a="1"/>
  <c r="N163" i="1"/>
  <c r="M163" i="1"/>
  <c r="O162" i="1"/>
  <c r="O162" i="1" a="1"/>
  <c r="N162" i="1"/>
  <c r="M162" i="1"/>
  <c r="O161" i="1"/>
  <c r="O161" i="1" a="1"/>
  <c r="N161" i="1"/>
  <c r="M161" i="1"/>
  <c r="O160" i="1"/>
  <c r="O160" i="1" a="1"/>
  <c r="N160" i="1"/>
  <c r="M160" i="1"/>
  <c r="O159" i="1"/>
  <c r="O159" i="1" a="1"/>
  <c r="N159" i="1"/>
  <c r="M159" i="1"/>
  <c r="O158" i="1"/>
  <c r="O158" i="1" a="1"/>
  <c r="N158" i="1"/>
  <c r="M158" i="1"/>
  <c r="O157" i="1"/>
  <c r="O157" i="1" a="1"/>
  <c r="N157" i="1"/>
  <c r="M157" i="1"/>
  <c r="O156" i="1"/>
  <c r="O156" i="1" a="1"/>
  <c r="N156" i="1"/>
  <c r="M156" i="1"/>
  <c r="O155" i="1"/>
  <c r="O155" i="1" a="1"/>
  <c r="N155" i="1"/>
  <c r="M155" i="1"/>
  <c r="O154" i="1"/>
  <c r="O154" i="1" a="1"/>
  <c r="N154" i="1"/>
  <c r="M154" i="1"/>
  <c r="O153" i="1"/>
  <c r="O153" i="1" a="1"/>
  <c r="N153" i="1"/>
  <c r="M153" i="1"/>
  <c r="O152" i="1"/>
  <c r="O152" i="1" a="1"/>
  <c r="N152" i="1"/>
  <c r="M152" i="1"/>
  <c r="O151" i="1"/>
  <c r="O151" i="1" a="1"/>
  <c r="N151" i="1"/>
  <c r="M151" i="1"/>
  <c r="O150" i="1"/>
  <c r="O150" i="1" a="1"/>
  <c r="N150" i="1"/>
  <c r="M150" i="1"/>
  <c r="O149" i="1"/>
  <c r="O149" i="1" a="1"/>
  <c r="N149" i="1"/>
  <c r="M149" i="1"/>
  <c r="O148" i="1"/>
  <c r="O148" i="1" a="1"/>
  <c r="N148" i="1"/>
  <c r="M148" i="1"/>
  <c r="O147" i="1"/>
  <c r="O147" i="1" a="1"/>
  <c r="N147" i="1"/>
  <c r="M147" i="1"/>
  <c r="O146" i="1"/>
  <c r="O146" i="1" a="1"/>
  <c r="N146" i="1"/>
  <c r="M146" i="1"/>
  <c r="O145" i="1"/>
  <c r="O145" i="1" a="1"/>
  <c r="N145" i="1"/>
  <c r="M145" i="1"/>
  <c r="O144" i="1"/>
  <c r="O144" i="1" a="1"/>
  <c r="N144" i="1"/>
  <c r="M144" i="1"/>
  <c r="O143" i="1"/>
  <c r="O143" i="1" a="1"/>
  <c r="N143" i="1"/>
  <c r="M143" i="1"/>
  <c r="O142" i="1"/>
  <c r="O142" i="1" a="1"/>
  <c r="N142" i="1"/>
  <c r="M142" i="1"/>
  <c r="O141" i="1"/>
  <c r="O141" i="1" a="1"/>
  <c r="N141" i="1"/>
  <c r="M141" i="1"/>
  <c r="O140" i="1"/>
  <c r="O140" i="1" a="1"/>
  <c r="N140" i="1"/>
  <c r="M140" i="1"/>
  <c r="O139" i="1"/>
  <c r="O139" i="1" a="1"/>
  <c r="N139" i="1"/>
  <c r="M139" i="1"/>
  <c r="O138" i="1"/>
  <c r="O138" i="1" a="1"/>
  <c r="N138" i="1"/>
  <c r="M138" i="1"/>
  <c r="O137" i="1"/>
  <c r="O137" i="1" a="1"/>
  <c r="N137" i="1"/>
  <c r="M137" i="1"/>
  <c r="O136" i="1"/>
  <c r="O136" i="1" a="1"/>
  <c r="N136" i="1"/>
  <c r="M136" i="1"/>
  <c r="O135" i="1"/>
  <c r="O135" i="1" a="1"/>
  <c r="N135" i="1"/>
  <c r="M135" i="1"/>
  <c r="O134" i="1"/>
  <c r="O134" i="1" a="1"/>
  <c r="N134" i="1"/>
  <c r="M134" i="1"/>
  <c r="O133" i="1"/>
  <c r="O133" i="1" a="1"/>
  <c r="N133" i="1"/>
  <c r="M133" i="1"/>
  <c r="O132" i="1"/>
  <c r="O132" i="1" a="1"/>
  <c r="N132" i="1"/>
  <c r="M132" i="1"/>
  <c r="O131" i="1"/>
  <c r="O131" i="1" a="1"/>
  <c r="N131" i="1"/>
  <c r="M131" i="1"/>
  <c r="O130" i="1"/>
  <c r="O130" i="1" a="1"/>
  <c r="N130" i="1"/>
  <c r="M130" i="1"/>
  <c r="O129" i="1"/>
  <c r="O129" i="1" a="1"/>
  <c r="N129" i="1"/>
  <c r="M129" i="1"/>
  <c r="O128" i="1"/>
  <c r="O128" i="1" a="1"/>
  <c r="N128" i="1"/>
  <c r="M128" i="1"/>
  <c r="O127" i="1"/>
  <c r="O127" i="1" a="1"/>
  <c r="N127" i="1"/>
  <c r="M127" i="1"/>
  <c r="O126" i="1"/>
  <c r="O126" i="1" a="1"/>
  <c r="N126" i="1"/>
  <c r="M126" i="1"/>
  <c r="O125" i="1"/>
  <c r="O125" i="1" a="1"/>
  <c r="N125" i="1"/>
  <c r="M125" i="1"/>
  <c r="O124" i="1"/>
  <c r="O124" i="1" a="1"/>
  <c r="N124" i="1"/>
  <c r="M124" i="1"/>
  <c r="O123" i="1"/>
  <c r="O123" i="1" a="1"/>
  <c r="N123" i="1"/>
  <c r="M123" i="1"/>
  <c r="O122" i="1"/>
  <c r="O122" i="1" a="1"/>
  <c r="N122" i="1"/>
  <c r="M122" i="1"/>
  <c r="O121" i="1"/>
  <c r="O121" i="1" a="1"/>
  <c r="N121" i="1"/>
  <c r="M121" i="1"/>
  <c r="O120" i="1"/>
  <c r="O120" i="1" a="1"/>
  <c r="N120" i="1"/>
  <c r="M120" i="1"/>
  <c r="O119" i="1"/>
  <c r="O119" i="1" a="1"/>
  <c r="N119" i="1"/>
  <c r="M119" i="1"/>
  <c r="O118" i="1"/>
  <c r="O118" i="1" a="1"/>
  <c r="N118" i="1"/>
  <c r="M118" i="1"/>
  <c r="O117" i="1"/>
  <c r="O117" i="1" a="1"/>
  <c r="N117" i="1"/>
  <c r="M117" i="1"/>
  <c r="O116" i="1"/>
  <c r="O116" i="1" a="1"/>
  <c r="N116" i="1"/>
  <c r="M116" i="1"/>
  <c r="O115" i="1"/>
  <c r="O115" i="1" a="1"/>
  <c r="N115" i="1"/>
  <c r="M115" i="1"/>
  <c r="O114" i="1"/>
  <c r="O114" i="1" a="1"/>
  <c r="N114" i="1"/>
  <c r="M114" i="1"/>
  <c r="O113" i="1"/>
  <c r="O113" i="1" a="1"/>
  <c r="N113" i="1"/>
  <c r="M113" i="1"/>
  <c r="O112" i="1"/>
  <c r="O112" i="1" a="1"/>
  <c r="N112" i="1"/>
  <c r="M112" i="1"/>
  <c r="O111" i="1"/>
  <c r="O111" i="1" a="1"/>
  <c r="N111" i="1"/>
  <c r="M111" i="1"/>
  <c r="O110" i="1"/>
  <c r="O110" i="1" a="1"/>
  <c r="N110" i="1"/>
  <c r="M110" i="1"/>
  <c r="O109" i="1"/>
  <c r="O109" i="1" a="1"/>
  <c r="N109" i="1"/>
  <c r="M109" i="1"/>
  <c r="O108" i="1"/>
  <c r="O108" i="1" a="1"/>
  <c r="N108" i="1"/>
  <c r="M108" i="1"/>
  <c r="O107" i="1"/>
  <c r="O107" i="1" a="1"/>
  <c r="N107" i="1"/>
  <c r="M107" i="1"/>
  <c r="O106" i="1"/>
  <c r="O106" i="1" a="1"/>
  <c r="N106" i="1"/>
  <c r="M106" i="1"/>
  <c r="O105" i="1"/>
  <c r="O105" i="1" a="1"/>
  <c r="N105" i="1"/>
  <c r="M105" i="1"/>
  <c r="O104" i="1"/>
  <c r="O104" i="1" a="1"/>
  <c r="N104" i="1"/>
  <c r="M104" i="1"/>
  <c r="O103" i="1"/>
  <c r="O103" i="1" a="1"/>
  <c r="N103" i="1"/>
  <c r="M103" i="1"/>
  <c r="O102" i="1"/>
  <c r="O102" i="1" a="1"/>
  <c r="N102" i="1"/>
  <c r="M102" i="1"/>
  <c r="O101" i="1"/>
  <c r="O101" i="1" a="1"/>
  <c r="N101" i="1"/>
  <c r="M101" i="1"/>
  <c r="O100" i="1"/>
  <c r="O100" i="1" a="1"/>
  <c r="N100" i="1"/>
  <c r="M100" i="1"/>
  <c r="O99" i="1"/>
  <c r="O99" i="1" a="1"/>
  <c r="N99" i="1"/>
  <c r="M99" i="1"/>
  <c r="O98" i="1"/>
  <c r="O98" i="1" a="1"/>
  <c r="N98" i="1"/>
  <c r="M98" i="1"/>
  <c r="O97" i="1"/>
  <c r="O97" i="1" a="1"/>
  <c r="N97" i="1"/>
  <c r="M97" i="1"/>
  <c r="O96" i="1"/>
  <c r="O96" i="1" a="1"/>
  <c r="N96" i="1"/>
  <c r="M96" i="1"/>
  <c r="O95" i="1"/>
  <c r="O95" i="1" a="1"/>
  <c r="N95" i="1"/>
  <c r="M95" i="1"/>
  <c r="O94" i="1"/>
  <c r="O94" i="1" a="1"/>
  <c r="N94" i="1"/>
  <c r="M94" i="1"/>
  <c r="O93" i="1"/>
  <c r="O93" i="1" a="1"/>
  <c r="N93" i="1"/>
  <c r="M93" i="1"/>
  <c r="O92" i="1"/>
  <c r="O92" i="1" a="1"/>
  <c r="N92" i="1"/>
  <c r="M92" i="1"/>
  <c r="O91" i="1"/>
  <c r="O91" i="1" a="1"/>
  <c r="N91" i="1"/>
  <c r="M91" i="1"/>
  <c r="O90" i="1"/>
  <c r="O90" i="1" a="1"/>
  <c r="N90" i="1"/>
  <c r="M90" i="1"/>
  <c r="O89" i="1"/>
  <c r="O89" i="1" a="1"/>
  <c r="N89" i="1"/>
  <c r="M89" i="1"/>
  <c r="O88" i="1"/>
  <c r="O88" i="1" a="1"/>
  <c r="N88" i="1"/>
  <c r="M88" i="1"/>
  <c r="O87" i="1"/>
  <c r="O87" i="1" a="1"/>
  <c r="N87" i="1"/>
  <c r="M87" i="1"/>
  <c r="O86" i="1"/>
  <c r="O86" i="1" a="1"/>
  <c r="N86" i="1"/>
  <c r="M86" i="1"/>
  <c r="O85" i="1"/>
  <c r="O85" i="1" a="1"/>
  <c r="N85" i="1"/>
  <c r="M85" i="1"/>
  <c r="O84" i="1"/>
  <c r="O84" i="1" a="1"/>
  <c r="N84" i="1"/>
  <c r="M84" i="1"/>
  <c r="O83" i="1"/>
  <c r="O83" i="1" a="1"/>
  <c r="N83" i="1"/>
  <c r="M83" i="1"/>
  <c r="O82" i="1"/>
  <c r="O82" i="1" a="1"/>
  <c r="N82" i="1"/>
  <c r="M82" i="1"/>
  <c r="O81" i="1"/>
  <c r="O81" i="1" a="1"/>
  <c r="N81" i="1"/>
  <c r="M81" i="1"/>
  <c r="O80" i="1"/>
  <c r="O80" i="1" a="1"/>
  <c r="N80" i="1"/>
  <c r="M80" i="1"/>
  <c r="O79" i="1"/>
  <c r="O79" i="1" a="1"/>
  <c r="N79" i="1"/>
  <c r="M79" i="1"/>
  <c r="O78" i="1"/>
  <c r="O78" i="1" a="1"/>
  <c r="N78" i="1"/>
  <c r="M78" i="1"/>
  <c r="O77" i="1"/>
  <c r="O77" i="1" a="1"/>
  <c r="N77" i="1"/>
  <c r="M77" i="1"/>
  <c r="O76" i="1"/>
  <c r="O76" i="1" a="1"/>
  <c r="N76" i="1"/>
  <c r="M76" i="1"/>
  <c r="O75" i="1"/>
  <c r="O75" i="1" a="1"/>
  <c r="N75" i="1"/>
  <c r="M75" i="1"/>
  <c r="O74" i="1"/>
  <c r="O74" i="1" a="1"/>
  <c r="N74" i="1"/>
  <c r="M74" i="1"/>
  <c r="O73" i="1"/>
  <c r="O73" i="1" a="1"/>
  <c r="N73" i="1"/>
  <c r="M73" i="1"/>
  <c r="O72" i="1"/>
  <c r="O72" i="1" a="1"/>
  <c r="N72" i="1"/>
  <c r="M72" i="1"/>
  <c r="O71" i="1"/>
  <c r="O71" i="1" a="1"/>
  <c r="N71" i="1"/>
  <c r="M71" i="1"/>
  <c r="O70" i="1"/>
  <c r="O70" i="1" a="1"/>
  <c r="N70" i="1"/>
  <c r="M70" i="1"/>
  <c r="O69" i="1"/>
  <c r="O69" i="1" a="1"/>
  <c r="N69" i="1"/>
  <c r="M69" i="1"/>
  <c r="O68" i="1"/>
  <c r="O68" i="1" a="1"/>
  <c r="N68" i="1"/>
  <c r="M68" i="1"/>
  <c r="O67" i="1"/>
  <c r="O67" i="1" a="1"/>
  <c r="N67" i="1"/>
  <c r="M67" i="1"/>
  <c r="O66" i="1"/>
  <c r="O66" i="1" a="1"/>
  <c r="N66" i="1"/>
  <c r="M66" i="1"/>
  <c r="O65" i="1"/>
  <c r="O65" i="1" a="1"/>
  <c r="N65" i="1"/>
  <c r="M65" i="1"/>
  <c r="O64" i="1"/>
  <c r="O64" i="1" a="1"/>
  <c r="N64" i="1"/>
  <c r="M64" i="1"/>
  <c r="O63" i="1"/>
  <c r="O63" i="1" a="1"/>
  <c r="N63" i="1"/>
  <c r="M63" i="1"/>
  <c r="O62" i="1"/>
  <c r="O62" i="1" a="1"/>
  <c r="N62" i="1"/>
  <c r="M62" i="1"/>
  <c r="O61" i="1"/>
  <c r="O61" i="1" a="1"/>
  <c r="N61" i="1"/>
  <c r="M61" i="1"/>
  <c r="O60" i="1"/>
  <c r="O60" i="1" a="1"/>
  <c r="N60" i="1"/>
  <c r="M60" i="1"/>
  <c r="O59" i="1"/>
  <c r="O59" i="1" a="1"/>
  <c r="N59" i="1"/>
  <c r="M59" i="1"/>
  <c r="O58" i="1"/>
  <c r="O58" i="1" a="1"/>
  <c r="N58" i="1"/>
  <c r="M58" i="1"/>
  <c r="O57" i="1"/>
  <c r="O57" i="1" a="1"/>
  <c r="N57" i="1"/>
  <c r="M57" i="1"/>
  <c r="O56" i="1"/>
  <c r="O56" i="1" a="1"/>
  <c r="N56" i="1"/>
  <c r="M56" i="1"/>
  <c r="O55" i="1"/>
  <c r="O55" i="1" a="1"/>
  <c r="N55" i="1"/>
  <c r="M55" i="1"/>
  <c r="O54" i="1"/>
  <c r="O54" i="1" a="1"/>
  <c r="N54" i="1"/>
  <c r="M54" i="1"/>
  <c r="O53" i="1"/>
  <c r="O53" i="1" a="1"/>
  <c r="N53" i="1"/>
  <c r="M53" i="1"/>
  <c r="O52" i="1"/>
  <c r="O52" i="1" a="1"/>
  <c r="N52" i="1"/>
  <c r="M52" i="1"/>
  <c r="O51" i="1"/>
  <c r="O51" i="1" a="1"/>
  <c r="N51" i="1"/>
  <c r="M51" i="1"/>
  <c r="O50" i="1"/>
  <c r="O50" i="1" a="1"/>
  <c r="N50" i="1"/>
  <c r="M50" i="1"/>
  <c r="O49" i="1"/>
  <c r="O49" i="1" a="1"/>
  <c r="N49" i="1"/>
  <c r="M49" i="1"/>
  <c r="O48" i="1"/>
  <c r="O48" i="1" a="1"/>
  <c r="N48" i="1"/>
  <c r="M48" i="1"/>
  <c r="O47" i="1"/>
  <c r="O47" i="1" a="1"/>
  <c r="N47" i="1"/>
  <c r="M47" i="1"/>
  <c r="O46" i="1"/>
  <c r="O46" i="1" a="1"/>
  <c r="N46" i="1"/>
  <c r="M46" i="1"/>
  <c r="O45" i="1"/>
  <c r="O45" i="1" a="1"/>
  <c r="N45" i="1"/>
  <c r="M45" i="1"/>
  <c r="O44" i="1"/>
  <c r="O44" i="1" a="1"/>
  <c r="N44" i="1"/>
  <c r="M44" i="1"/>
  <c r="O43" i="1"/>
  <c r="O43" i="1" a="1"/>
  <c r="N43" i="1"/>
  <c r="M43" i="1"/>
  <c r="O42" i="1"/>
  <c r="O42" i="1" a="1"/>
  <c r="N42" i="1"/>
  <c r="M42" i="1"/>
  <c r="O41" i="1"/>
  <c r="O41" i="1" a="1"/>
  <c r="N41" i="1"/>
  <c r="M41" i="1"/>
  <c r="O40" i="1"/>
  <c r="O40" i="1" a="1"/>
  <c r="N40" i="1"/>
  <c r="M40" i="1"/>
  <c r="O39" i="1"/>
  <c r="O39" i="1" a="1"/>
  <c r="N39" i="1"/>
  <c r="M39" i="1"/>
  <c r="O38" i="1"/>
  <c r="O38" i="1" a="1"/>
  <c r="N38" i="1"/>
  <c r="M38" i="1"/>
  <c r="O37" i="1"/>
  <c r="O37" i="1" a="1"/>
  <c r="N37" i="1"/>
  <c r="M37" i="1"/>
  <c r="O36" i="1"/>
  <c r="O36" i="1" a="1"/>
  <c r="N36" i="1"/>
  <c r="M36" i="1"/>
  <c r="O35" i="1"/>
  <c r="O35" i="1" a="1"/>
  <c r="N35" i="1"/>
  <c r="M35" i="1"/>
  <c r="O34" i="1"/>
  <c r="O34" i="1" a="1"/>
  <c r="N34" i="1"/>
  <c r="M34" i="1"/>
  <c r="O33" i="1"/>
  <c r="O33" i="1" a="1"/>
  <c r="N33" i="1"/>
  <c r="M33" i="1"/>
  <c r="O32" i="1"/>
  <c r="O32" i="1" a="1"/>
  <c r="N32" i="1"/>
  <c r="M32" i="1"/>
  <c r="O31" i="1"/>
  <c r="O31" i="1" a="1"/>
  <c r="N31" i="1"/>
  <c r="M31" i="1"/>
  <c r="O30" i="1"/>
  <c r="O30" i="1" a="1"/>
  <c r="N30" i="1"/>
  <c r="M30" i="1"/>
  <c r="O29" i="1"/>
  <c r="O29" i="1" a="1"/>
  <c r="N29" i="1"/>
  <c r="M29" i="1"/>
  <c r="O28" i="1"/>
  <c r="O28" i="1" a="1"/>
  <c r="N28" i="1"/>
  <c r="M28" i="1"/>
  <c r="O27" i="1"/>
  <c r="O27" i="1" a="1"/>
  <c r="N27" i="1"/>
  <c r="M27" i="1"/>
  <c r="O26" i="1"/>
  <c r="O26" i="1" a="1"/>
  <c r="N26" i="1"/>
  <c r="M26" i="1"/>
  <c r="O25" i="1"/>
  <c r="O25" i="1" a="1"/>
  <c r="N25" i="1"/>
  <c r="M25" i="1"/>
  <c r="O24" i="1"/>
  <c r="O24" i="1" a="1"/>
  <c r="N24" i="1"/>
  <c r="M24" i="1"/>
  <c r="O23" i="1"/>
  <c r="O23" i="1" a="1"/>
  <c r="N23" i="1"/>
  <c r="M23" i="1"/>
  <c r="O22" i="1"/>
  <c r="O22" i="1" a="1"/>
  <c r="N22" i="1"/>
  <c r="M22" i="1"/>
  <c r="O21" i="1"/>
  <c r="O21" i="1" a="1"/>
  <c r="N21" i="1"/>
  <c r="M21" i="1"/>
  <c r="O20" i="1"/>
  <c r="O20" i="1" a="1"/>
  <c r="N20" i="1"/>
  <c r="M20" i="1"/>
  <c r="O19" i="1"/>
  <c r="O19" i="1" a="1"/>
  <c r="N19" i="1"/>
  <c r="M19" i="1"/>
  <c r="O18" i="1"/>
  <c r="O18" i="1" a="1"/>
  <c r="N18" i="1"/>
  <c r="M18" i="1"/>
  <c r="O17" i="1"/>
  <c r="O17" i="1" a="1"/>
  <c r="N17" i="1"/>
  <c r="M17" i="1"/>
  <c r="O16" i="1"/>
  <c r="O16" i="1" a="1"/>
  <c r="N16" i="1"/>
  <c r="M16" i="1"/>
  <c r="O15" i="1"/>
  <c r="O15" i="1" a="1"/>
  <c r="N15" i="1"/>
  <c r="M15" i="1"/>
  <c r="O14" i="1"/>
  <c r="O14" i="1" a="1"/>
  <c r="N14" i="1"/>
  <c r="M14" i="1"/>
  <c r="O13" i="1"/>
  <c r="O13" i="1" a="1"/>
  <c r="N13" i="1"/>
  <c r="M13" i="1"/>
  <c r="O12" i="1"/>
  <c r="O12" i="1" a="1"/>
  <c r="N12" i="1"/>
  <c r="M12" i="1"/>
  <c r="O11" i="1"/>
  <c r="O11" i="1" a="1"/>
  <c r="N11" i="1"/>
  <c r="M11" i="1"/>
  <c r="O10" i="1"/>
  <c r="O10" i="1" a="1"/>
  <c r="N10" i="1"/>
  <c r="M10" i="1"/>
  <c r="O9" i="1"/>
  <c r="O9" i="1" a="1"/>
  <c r="N9" i="1"/>
  <c r="M9" i="1"/>
  <c r="O8" i="1"/>
  <c r="O8" i="1" a="1"/>
  <c r="N8" i="1"/>
  <c r="M8" i="1"/>
  <c r="O7" i="1"/>
  <c r="O7" i="1" a="1"/>
  <c r="N7" i="1"/>
  <c r="M7" i="1"/>
  <c r="O6" i="1"/>
  <c r="O6" i="1" a="1"/>
  <c r="N6" i="1"/>
  <c r="M6" i="1"/>
  <c r="O5" i="1"/>
  <c r="O5" i="1" a="1"/>
  <c r="N5" i="1"/>
  <c r="M5" i="1"/>
  <c r="O4" i="1"/>
  <c r="O4" i="1" a="1"/>
  <c r="N4" i="1"/>
  <c r="M4" i="1"/>
  <c r="O3" i="1"/>
  <c r="O3" i="1" a="1"/>
  <c r="N3" i="1"/>
  <c r="M3" i="1"/>
  <c r="O2" i="1"/>
  <c r="O2" i="1" a="1"/>
  <c r="N2" i="1"/>
  <c r="M2" i="1"/>
  <c r="L9" i="8"/>
  <c r="K9" i="8"/>
  <c r="J9" i="8"/>
  <c r="I9" i="8"/>
  <c r="H9" i="8"/>
  <c r="L8" i="8"/>
  <c r="K8" i="8"/>
  <c r="J8" i="8"/>
  <c r="I8" i="8"/>
  <c r="H8" i="8"/>
  <c r="L7" i="8"/>
  <c r="K7" i="8"/>
  <c r="J7" i="8"/>
  <c r="I7" i="8"/>
  <c r="H7" i="8"/>
  <c r="L6" i="8"/>
  <c r="K6" i="8"/>
  <c r="J6" i="8"/>
  <c r="I6" i="8"/>
  <c r="H6" i="8"/>
  <c r="L5" i="8"/>
  <c r="K5" i="8"/>
  <c r="J5" i="8"/>
  <c r="I5" i="8"/>
  <c r="H5" i="8"/>
  <c r="L4" i="8"/>
  <c r="K4" i="8"/>
  <c r="J4" i="8"/>
  <c r="I4" i="8"/>
  <c r="K4" i="5"/>
  <c r="J4" i="5"/>
  <c r="I4" i="5"/>
  <c r="H4" i="5"/>
  <c r="G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<sst xmlns="http://schemas.openxmlformats.org/spreadsheetml/2006/main" count="14872" uniqueCount="2546">
  <si>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</si>
  <si>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</si>
  <si>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</si>
  <si>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</si>
  <si>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</si>
  <si>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</si>
  <si>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</si>
  <si>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</si>
  <si>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</si>
  <si>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</si>
  <si>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</si>
  <si>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</si>
  <si>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</si>
  <si>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</si>
  <si>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</si>
  <si>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</si>
  <si>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</si>
  <si>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</si>
  <si>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</si>
  <si>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</si>
  <si>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</si>
  <si>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</si>
  <si>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</si>
  <si>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</si>
  <si>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</si>
  <si>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</si>
  <si>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</si>
  <si>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</si>
  <si>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</si>
  <si>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</si>
  <si>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</si>
  <si>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</si>
  <si>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</si>
  <si>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</si>
  <si>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</si>
  <si>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</si>
  <si>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</si>
  <si>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</si>
  <si>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</si>
  <si>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</si>
  <si>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</si>
  <si>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</si>
  <si>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</si>
  <si>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</si>
  <si>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</si>
  <si>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</si>
  <si>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</si>
  <si>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</si>
  <si>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</si>
  <si>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</si>
  <si>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</si>
  <si>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</si>
  <si>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</si>
  <si>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</si>
  <si>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</si>
  <si>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</si>
  <si>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</si>
  <si>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</si>
  <si>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</si>
  <si>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</si>
  <si>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</si>
  <si>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</si>
  <si>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</si>
  <si>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</si>
  <si>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</si>
  <si>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</si>
  <si>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</si>
  <si>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</si>
  <si>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</si>
  <si>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</si>
  <si>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</si>
  <si>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</si>
  <si>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</si>
  <si>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</si>
  <si>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</si>
  <si>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</si>
  <si>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</si>
  <si>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</si>
  <si>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</si>
  <si>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</si>
  <si>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</si>
  <si>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</si>
  <si>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</si>
  <si>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</si>
  <si>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</si>
  <si>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</si>
  <si>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</si>
  <si>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</si>
  <si>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</si>
  <si>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</si>
  <si>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</si>
  <si>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</si>
  <si>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</si>
  <si>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</si>
  <si>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</si>
  <si>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</si>
  <si>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</si>
  <si>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</si>
  <si>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</si>
  <si>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</si>
  <si>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</si>
  <si>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</si>
  <si>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</si>
  <si>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</si>
  <si>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</si>
  <si>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</si>
  <si>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</si>
  <si>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</si>
  <si>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</si>
  <si>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</si>
  <si>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</si>
  <si>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</si>
  <si>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</si>
  <si>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</si>
  <si>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</si>
  <si>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</si>
  <si>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</si>
  <si>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</si>
  <si>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</si>
  <si>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</si>
  <si>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</si>
  <si>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</si>
  <si>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</si>
  <si>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</si>
  <si>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</si>
  <si>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</si>
  <si>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</si>
  <si>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</si>
  <si>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</si>
  <si>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</si>
  <si>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</si>
  <si>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</si>
  <si>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</si>
  <si>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</si>
  <si>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</si>
  <si>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</si>
  <si>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</si>
  <si>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</si>
  <si>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</si>
  <si>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</si>
  <si>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</si>
  <si>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</si>
  <si>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</si>
  <si>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</si>
  <si>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</si>
  <si>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</si>
  <si>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</si>
  <si>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</si>
  <si>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</si>
  <si>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</si>
  <si>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</si>
  <si>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</si>
  <si>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</si>
  <si>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</si>
  <si>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</si>
  <si>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</si>
  <si>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</si>
  <si>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</si>
  <si>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</si>
  <si>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</si>
  <si>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</si>
  <si>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</si>
  <si>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</si>
  <si>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</si>
  <si>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</si>
  <si>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</si>
  <si>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</si>
  <si>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</si>
  <si>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</si>
  <si>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</si>
  <si>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</si>
  <si>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</si>
  <si>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</si>
  <si>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</si>
  <si>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</si>
  <si>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</si>
  <si>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</si>
  <si>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</si>
  <si>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</si>
  <si>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</si>
  <si>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</si>
  <si>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</si>
  <si>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</si>
  <si>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</si>
  <si>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</si>
  <si>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</si>
  <si>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</si>
  <si>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</si>
  <si>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</si>
  <si>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</si>
  <si>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</si>
  <si>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</si>
  <si>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</si>
  <si>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</si>
  <si>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</si>
  <si>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</si>
  <si>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</si>
  <si>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</si>
  <si>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</si>
  <si>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</si>
  <si>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</si>
  <si>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</si>
  <si>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</si>
  <si>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</si>
  <si>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</si>
  <si>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</si>
  <si>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</si>
  <si>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</si>
  <si>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</si>
  <si>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</si>
  <si>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</si>
  <si>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</si>
  <si>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</si>
  <si>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</si>
  <si>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</si>
  <si>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</si>
  <si>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</si>
  <si>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</si>
  <si>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</si>
  <si>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</si>
  <si>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</si>
  <si>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</si>
  <si>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</si>
  <si>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</si>
  <si>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</si>
  <si>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</si>
  <si>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</si>
  <si>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</si>
  <si>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</si>
  <si>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</si>
  <si>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</si>
  <si>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</si>
  <si>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</si>
  <si>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</si>
  <si>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</si>
  <si>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</si>
  <si>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</si>
  <si>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</si>
  <si>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</si>
  <si>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</si>
  <si>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</si>
  <si>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</si>
  <si>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</si>
  <si>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</si>
  <si>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</si>
  <si>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</si>
  <si>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</si>
  <si>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</si>
  <si>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</si>
  <si>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</si>
  <si>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</si>
  <si>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</si>
  <si>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</si>
  <si>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</si>
  <si>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</si>
  <si>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</si>
  <si>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</si>
  <si>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</si>
  <si>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</si>
  <si>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</si>
  <si>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</si>
  <si>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</si>
  <si>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</si>
  <si>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</si>
  <si>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</si>
  <si>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</si>
  <si>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</si>
  <si>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</si>
  <si>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</si>
  <si>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</si>
  <si>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</si>
  <si>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</si>
  <si>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</si>
  <si>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</si>
  <si>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</si>
  <si>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</si>
  <si>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</si>
  <si>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</si>
  <si>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</si>
  <si>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</si>
  <si>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</si>
  <si>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</si>
  <si>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</si>
  <si>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</si>
  <si>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</si>
  <si>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</si>
  <si>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</si>
  <si>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</si>
  <si>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</si>
  <si>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</si>
  <si>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</si>
  <si>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</si>
  <si>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</si>
  <si>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</si>
  <si>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</si>
  <si>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</si>
  <si>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</si>
  <si>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</si>
  <si>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</si>
  <si>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</si>
  <si>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</si>
  <si>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</si>
  <si>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</si>
  <si>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</si>
  <si>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</si>
  <si>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</si>
  <si>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</si>
  <si>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</si>
  <si>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</si>
  <si>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</si>
  <si>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</si>
  <si>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</si>
  <si>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</si>
  <si>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</si>
  <si>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</si>
  <si>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</si>
  <si>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</si>
  <si>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</si>
  <si>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</si>
  <si>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</si>
  <si>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</si>
  <si>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</si>
  <si>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</si>
  <si>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</si>
  <si>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</si>
  <si>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</si>
  <si>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</si>
  <si>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</si>
  <si>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</si>
  <si>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</si>
  <si>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</si>
  <si>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</si>
  <si>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</si>
  <si>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</si>
  <si>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</si>
  <si>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</si>
  <si>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</si>
  <si>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</si>
  <si>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</si>
  <si>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</si>
  <si>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</si>
  <si>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</si>
  <si>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</si>
  <si>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</si>
  <si>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</si>
  <si>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</si>
  <si>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</si>
  <si>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</si>
  <si>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</si>
  <si>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</si>
  <si>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</si>
  <si>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</si>
  <si>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</si>
  <si>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</si>
  <si>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</si>
  <si>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</si>
  <si>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</si>
  <si>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</si>
  <si>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</si>
  <si>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</si>
  <si>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</si>
  <si>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</si>
  <si>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</si>
  <si>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</si>
  <si>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</si>
  <si>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</si>
  <si>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</si>
  <si>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</si>
  <si>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</si>
  <si>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</si>
  <si>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</si>
  <si>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</si>
  <si>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</si>
  <si>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</si>
  <si>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</si>
  <si>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</si>
  <si>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</si>
  <si>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</si>
  <si>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</si>
  <si>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</si>
  <si>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</si>
  <si>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</si>
  <si>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</si>
  <si>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</si>
  <si>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</si>
  <si>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</si>
  <si>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</si>
  <si>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</si>
  <si>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</si>
  <si>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</si>
  <si>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</si>
  <si>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</si>
  <si>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</si>
  <si>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</si>
  <si>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</si>
  <si>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</si>
  <si>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</si>
  <si>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</si>
  <si>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</si>
  <si>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</si>
  <si>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</si>
  <si>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</si>
  <si>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</si>
  <si>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</si>
  <si>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</si>
  <si>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</si>
  <si>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</si>
  <si>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</si>
  <si>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</si>
  <si>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</si>
  <si>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</si>
  <si>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</si>
  <si>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</si>
  <si>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</si>
  <si>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</si>
  <si>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</si>
  <si>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</si>
  <si>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</si>
  <si>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</si>
  <si>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</si>
  <si>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</si>
  <si>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</si>
  <si>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</si>
  <si>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</si>
  <si>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</si>
  <si>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</si>
  <si>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</si>
  <si>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</si>
  <si>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</si>
  <si>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</si>
  <si>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</si>
  <si>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</si>
  <si>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</si>
  <si>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</si>
  <si>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</si>
  <si>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</si>
  <si>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</si>
  <si>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</si>
  <si>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</si>
  <si>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</si>
  <si>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</si>
  <si>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</si>
  <si>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</si>
  <si>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</si>
  <si>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</si>
  <si>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</si>
  <si>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</si>
  <si>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</si>
  <si>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</si>
  <si>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</si>
  <si>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</si>
  <si>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</si>
  <si>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</si>
  <si>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</si>
  <si>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</si>
  <si>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</si>
  <si>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</si>
  <si>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</si>
  <si>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</si>
  <si>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</si>
  <si>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</si>
  <si>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</si>
  <si>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</si>
  <si>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</si>
  <si>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</si>
  <si>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</si>
  <si>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</si>
  <si>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</si>
  <si>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</si>
  <si>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</si>
  <si>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</si>
  <si>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</si>
  <si>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</si>
  <si>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</si>
  <si>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</si>
  <si>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</si>
  <si>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</si>
  <si>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</si>
  <si>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</si>
  <si>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</si>
  <si>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</si>
  <si>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</si>
  <si>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</si>
  <si>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</si>
  <si>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</si>
  <si>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</si>
  <si>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</si>
  <si>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</si>
  <si>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</si>
  <si>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</si>
  <si>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</si>
  <si>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</si>
  <si>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</si>
  <si>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</si>
  <si>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</si>
  <si>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</si>
  <si>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</si>
  <si>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</si>
  <si>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</si>
  <si>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</si>
  <si>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</si>
  <si>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</si>
  <si>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</si>
  <si>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</si>
  <si>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</si>
  <si>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</si>
  <si>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</si>
  <si>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</si>
  <si>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</si>
  <si>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</si>
  <si>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</si>
  <si>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</si>
  <si>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</si>
  <si>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</si>
  <si>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</si>
  <si>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</si>
  <si>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</si>
  <si>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</si>
  <si>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</si>
  <si>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</si>
  <si>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</si>
  <si>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</si>
  <si>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</si>
  <si>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</si>
  <si>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</si>
  <si>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</si>
  <si>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</si>
  <si>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</si>
  <si>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</si>
  <si>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</si>
  <si>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</si>
  <si>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</si>
  <si>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</si>
  <si>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</si>
  <si>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</si>
  <si>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</si>
  <si>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</si>
  <si>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</si>
  <si>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</si>
  <si>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</si>
  <si>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</si>
  <si>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</si>
  <si>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</si>
  <si>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</si>
  <si>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</si>
  <si>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</si>
  <si>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</si>
  <si>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</si>
  <si>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</si>
  <si>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</si>
  <si>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</si>
  <si>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</si>
  <si>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</si>
  <si>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</si>
  <si>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</si>
  <si>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</si>
  <si>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</si>
  <si>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</si>
  <si>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</si>
  <si>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</si>
  <si>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</si>
  <si>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</si>
  <si>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</si>
  <si>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</si>
  <si>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</si>
  <si>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</si>
  <si>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</si>
  <si>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</si>
  <si>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</si>
  <si>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</si>
  <si>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</si>
  <si>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</si>
  <si>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</si>
  <si>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</si>
  <si>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</si>
  <si>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</si>
  <si>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</si>
  <si>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</si>
  <si>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</si>
  <si>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</si>
  <si>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</si>
  <si>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</si>
  <si>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</si>
  <si>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</si>
  <si>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</si>
  <si>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</si>
  <si>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</si>
  <si>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</si>
  <si>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</si>
  <si>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</si>
  <si>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</si>
  <si>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</si>
  <si>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</si>
  <si>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</si>
  <si>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</si>
  <si>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</si>
  <si>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</si>
  <si>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</si>
  <si>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</si>
  <si>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</si>
  <si>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</si>
  <si>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</si>
  <si>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</si>
  <si>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</si>
  <si>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</si>
  <si>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</si>
  <si>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</si>
  <si>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</si>
  <si>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</si>
  <si>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</si>
  <si>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</si>
  <si>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</si>
  <si>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</si>
  <si>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</si>
  <si>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</si>
  <si>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</si>
  <si>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</si>
  <si>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</si>
  <si>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</si>
  <si>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</si>
  <si>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</si>
  <si>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</si>
  <si>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</si>
  <si>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</si>
  <si>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</si>
  <si>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</si>
  <si>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</si>
  <si>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</si>
  <si>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</si>
  <si>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</si>
  <si>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</si>
  <si>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</si>
  <si>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</si>
  <si>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</si>
  <si>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</si>
  <si>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</si>
  <si>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</si>
  <si>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</si>
  <si>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</si>
  <si>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</si>
  <si>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</si>
  <si>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</si>
  <si>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</si>
  <si>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</si>
  <si>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</si>
  <si>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</si>
  <si>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</si>
  <si>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</si>
  <si>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</si>
  <si>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</si>
  <si>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</si>
  <si>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</si>
  <si>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</si>
  <si>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</si>
  <si>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</si>
  <si>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</si>
  <si>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</si>
  <si>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</si>
  <si>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</si>
  <si>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</si>
  <si>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</si>
  <si>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</si>
  <si>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</si>
  <si>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</si>
  <si>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</si>
  <si>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</si>
  <si>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</si>
  <si>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</si>
  <si>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</si>
  <si>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</si>
  <si>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</si>
  <si>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</si>
  <si>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</si>
  <si>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</si>
  <si>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</si>
  <si>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</si>
  <si>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</si>
  <si>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</si>
  <si>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</si>
  <si>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</si>
  <si>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</si>
  <si>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</si>
  <si>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</si>
  <si>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</si>
  <si>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</si>
  <si>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</si>
  <si>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</si>
  <si>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</si>
  <si>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</si>
  <si>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</si>
  <si>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</si>
  <si>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</si>
  <si>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</si>
  <si>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</si>
  <si>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</si>
  <si>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</si>
  <si>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</si>
  <si>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</si>
  <si>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</si>
  <si>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</si>
  <si>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</si>
  <si>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</si>
  <si>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</si>
  <si>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</si>
  <si>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</si>
  <si>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</si>
  <si>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</si>
  <si>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</si>
  <si>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</si>
  <si>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</si>
  <si>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</si>
  <si>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</si>
  <si>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</si>
  <si>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</si>
  <si>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</si>
  <si>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</si>
  <si>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</si>
  <si>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</si>
  <si>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</si>
  <si>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</si>
  <si>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</si>
  <si>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</si>
  <si>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</si>
  <si>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</si>
  <si>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</si>
  <si>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</si>
  <si>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</si>
  <si>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</si>
  <si>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</si>
  <si>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</si>
  <si>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</si>
  <si>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</si>
  <si>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</si>
  <si>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</si>
  <si>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</si>
  <si>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</si>
  <si>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</si>
  <si>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</si>
  <si>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</si>
  <si>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</si>
  <si>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</si>
  <si>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</si>
  <si>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</si>
  <si>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</si>
  <si>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</si>
  <si>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</si>
  <si>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</si>
  <si>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</si>
  <si>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</si>
  <si>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</si>
  <si>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</si>
  <si>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</si>
  <si>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</si>
  <si>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</si>
  <si>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</si>
  <si>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</si>
  <si>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</si>
  <si>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</si>
  <si>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</si>
  <si>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</si>
  <si>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</si>
  <si>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</si>
  <si>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</si>
  <si>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</si>
  <si>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</si>
  <si>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</si>
  <si>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</si>
  <si>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</si>
  <si>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</si>
  <si>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</si>
  <si>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</si>
  <si>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</si>
  <si>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</si>
  <si>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</si>
  <si>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</si>
  <si>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</si>
  <si>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</si>
  <si>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</si>
  <si>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</si>
  <si>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</si>
  <si>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</si>
  <si>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</si>
  <si>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</si>
  <si>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</si>
  <si>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</si>
  <si>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</si>
  <si>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</si>
  <si>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</si>
  <si>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</si>
  <si>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</si>
  <si>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</si>
  <si>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</si>
  <si>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</si>
  <si>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</si>
  <si>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</si>
  <si>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</si>
  <si>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</si>
  <si>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</si>
  <si>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</si>
  <si>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</si>
  <si>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</si>
  <si>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</si>
  <si>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</si>
  <si>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</si>
  <si>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</si>
  <si>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</si>
  <si>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</si>
  <si>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</si>
  <si>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</si>
  <si>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</si>
  <si>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</si>
  <si>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</si>
  <si>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</si>
  <si>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</si>
  <si>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</si>
  <si>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</si>
  <si>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</si>
  <si>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</si>
  <si>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</si>
  <si>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</si>
  <si>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</si>
  <si>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</si>
  <si>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</si>
  <si>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</si>
  <si>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</si>
  <si>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</si>
  <si>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</si>
  <si>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</si>
  <si>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</si>
  <si>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</si>
  <si>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</si>
  <si>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</si>
  <si>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</si>
  <si>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</si>
  <si>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</si>
  <si>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</si>
  <si>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</si>
  <si>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</si>
  <si>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</si>
  <si>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</si>
  <si>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</si>
  <si>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</si>
  <si>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</si>
  <si>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</si>
  <si>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</si>
  <si>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</si>
  <si>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</si>
  <si>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</si>
  <si>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</si>
  <si>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</si>
  <si>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</si>
  <si>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</si>
  <si>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</si>
  <si>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</si>
  <si>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</si>
  <si>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</si>
  <si>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</si>
  <si>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</si>
  <si>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</si>
  <si>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</si>
  <si>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</si>
  <si>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</si>
  <si>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</si>
  <si>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</si>
  <si>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</si>
  <si>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</si>
  <si>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</si>
  <si>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</si>
  <si>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</si>
  <si>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</si>
  <si>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</si>
  <si>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</si>
  <si>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</si>
  <si>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</si>
  <si>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</si>
  <si>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</si>
  <si>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</si>
  <si>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</si>
  <si>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</si>
  <si>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</si>
  <si>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</si>
  <si>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</si>
  <si>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</si>
  <si>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</si>
  <si>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</si>
  <si>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</si>
  <si>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</si>
  <si>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</si>
  <si>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</si>
  <si>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</si>
  <si>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</si>
  <si>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</si>
  <si>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</si>
  <si>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</si>
  <si>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</si>
  <si>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</si>
  <si>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</si>
  <si>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</si>
  <si>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</si>
  <si>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</si>
  <si>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</si>
  <si>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</si>
  <si>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</si>
  <si>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</si>
  <si>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</si>
  <si>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</si>
  <si>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</si>
  <si>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</si>
  <si>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</si>
  <si>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</si>
  <si>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</si>
  <si>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</si>
  <si>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</si>
  <si>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</si>
  <si>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</si>
  <si>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</si>
  <si>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</si>
  <si>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</si>
  <si>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</si>
  <si>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</si>
  <si>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</si>
  <si>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</si>
  <si>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</si>
  <si>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</si>
  <si>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</si>
  <si>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</si>
  <si>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</si>
  <si>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</si>
  <si>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</si>
  <si>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</si>
  <si>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</si>
  <si>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</si>
  <si>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</si>
  <si>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</si>
  <si>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</si>
  <si>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</si>
  <si>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</si>
  <si>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</si>
  <si>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</si>
  <si>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</si>
  <si>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</si>
  <si>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</si>
  <si>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</si>
  <si>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</si>
  <si>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</si>
  <si>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</si>
  <si>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</si>
  <si>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</si>
  <si>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</si>
  <si>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</si>
  <si>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</si>
  <si>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</si>
  <si>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</si>
  <si>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</si>
  <si>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</si>
  <si>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</si>
  <si>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</si>
  <si>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</si>
  <si>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</si>
  <si>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</si>
  <si>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</si>
  <si>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</si>
  <si>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</si>
  <si>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</si>
  <si>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</si>
  <si>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</si>
  <si>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</si>
  <si>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</si>
  <si>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</si>
  <si>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</si>
  <si>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</si>
  <si>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</si>
  <si>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</si>
  <si>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</si>
  <si>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</si>
  <si>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</si>
  <si>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</si>
  <si>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</si>
  <si>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</si>
  <si>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</si>
  <si>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</si>
  <si>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</si>
  <si>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</si>
  <si>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</si>
  <si>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</si>
  <si>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</si>
  <si>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</si>
  <si>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</si>
  <si>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</si>
  <si>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</si>
  <si>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</si>
  <si>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</si>
  <si>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</si>
  <si>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</si>
  <si>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</si>
  <si>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</si>
  <si>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</si>
  <si>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</si>
  <si>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</si>
  <si>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</si>
  <si>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</si>
  <si>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</si>
  <si>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</si>
  <si>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</si>
  <si>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</si>
  <si>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</si>
  <si>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</si>
  <si>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</si>
  <si>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</si>
  <si>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</si>
  <si>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</si>
  <si>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</si>
  <si>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</si>
  <si>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</si>
  <si>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</si>
  <si>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</si>
  <si>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</si>
  <si>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</si>
  <si>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</si>
  <si>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</si>
  <si>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</si>
  <si>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</si>
  <si>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</si>
  <si>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</si>
  <si>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</si>
  <si>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</si>
  <si>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</si>
  <si>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</si>
  <si>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</si>
  <si>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</si>
  <si>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</si>
  <si>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</si>
  <si>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</si>
  <si>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</si>
  <si>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</si>
  <si>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</si>
  <si>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</si>
  <si>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</si>
  <si>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</si>
  <si>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</si>
  <si>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</si>
  <si>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</si>
  <si>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</si>
  <si>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</si>
  <si>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</si>
  <si>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</si>
  <si>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</si>
  <si>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</si>
  <si>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</si>
  <si>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</si>
  <si>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</si>
  <si>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</si>
  <si>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</si>
  <si>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</si>
  <si>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</si>
  <si>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</si>
  <si>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</si>
  <si>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</si>
  <si>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</si>
  <si>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</si>
  <si>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</si>
  <si>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</si>
  <si>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</si>
  <si>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</si>
  <si>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</si>
  <si>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</si>
  <si>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</si>
  <si>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</si>
  <si>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</si>
  <si>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</si>
  <si>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</si>
  <si>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</si>
  <si>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</si>
  <si>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</si>
  <si>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</si>
  <si>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</si>
  <si>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</si>
  <si>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</si>
  <si>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</si>
  <si>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</si>
  <si>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</si>
  <si>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</si>
  <si>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</si>
  <si>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</si>
  <si>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</si>
  <si>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</si>
  <si>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</si>
  <si>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</si>
  <si>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</si>
  <si>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</si>
  <si>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</si>
  <si>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</si>
  <si>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</si>
  <si>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</si>
  <si>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</si>
  <si>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</si>
  <si>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</si>
  <si>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</si>
  <si>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</si>
  <si>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</si>
  <si>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</si>
  <si>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</si>
  <si>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</si>
  <si>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</si>
  <si>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</si>
  <si>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</si>
  <si>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</si>
  <si>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</si>
  <si>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</si>
  <si>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</si>
  <si>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</si>
  <si>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</si>
  <si>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</si>
  <si>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</si>
  <si>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</si>
  <si>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</si>
  <si>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</si>
  <si>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</si>
  <si>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</si>
  <si>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</si>
  <si>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</si>
  <si>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</si>
  <si>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</si>
  <si>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</si>
  <si>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</si>
  <si>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</si>
  <si>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</si>
  <si>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</si>
  <si>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</si>
  <si>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</si>
  <si>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</si>
  <si>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</si>
  <si>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</si>
  <si>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</si>
  <si>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</si>
  <si>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</si>
  <si>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</si>
  <si>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</si>
  <si>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</si>
  <si>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</si>
  <si>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</si>
  <si>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</si>
  <si>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</si>
  <si>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</si>
  <si>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</si>
  <si>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</si>
  <si>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</si>
  <si>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</si>
  <si>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</si>
  <si>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</si>
  <si>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</si>
  <si>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</si>
  <si>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</si>
  <si>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</si>
  <si>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</si>
  <si>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</si>
  <si>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</si>
  <si>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</si>
  <si>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</si>
  <si>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</si>
  <si>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</si>
  <si>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</si>
  <si>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</si>
  <si>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</si>
  <si>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</si>
  <si>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</si>
  <si>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</si>
  <si>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</si>
  <si>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</si>
  <si>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</si>
  <si>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</si>
  <si>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</si>
  <si>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</si>
  <si>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</si>
  <si>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</si>
  <si>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</si>
  <si>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</si>
  <si>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</si>
  <si>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</si>
  <si>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</si>
  <si>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</si>
  <si>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</si>
  <si>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</si>
  <si>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</si>
  <si>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</si>
  <si>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</si>
  <si>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</si>
  <si>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</si>
  <si>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</si>
  <si>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</si>
  <si>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</si>
  <si>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</si>
  <si>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</si>
  <si>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</si>
  <si>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</si>
  <si>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</si>
  <si>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</si>
  <si>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</si>
  <si>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</si>
  <si>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</si>
  <si>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</si>
  <si>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</si>
  <si>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</si>
  <si>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</si>
  <si>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</si>
  <si>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</si>
  <si>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</si>
  <si>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</si>
  <si>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</si>
  <si>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</si>
  <si>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</si>
  <si>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</si>
  <si>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</si>
  <si>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</si>
  <si>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</si>
  <si>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</si>
  <si>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</si>
  <si>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</si>
  <si>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</si>
  <si>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</si>
  <si>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</si>
  <si>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</si>
  <si>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</si>
  <si>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</si>
  <si>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</si>
  <si>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</si>
  <si>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</si>
  <si>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</si>
  <si>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</si>
  <si>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</si>
  <si>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</si>
  <si>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</si>
  <si>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</si>
  <si>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</si>
  <si>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</si>
  <si>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</si>
  <si>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</si>
  <si>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</si>
  <si>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</si>
  <si>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</si>
  <si>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</si>
  <si>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</si>
  <si>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</si>
  <si>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</si>
  <si>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</si>
  <si>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</si>
  <si>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</si>
  <si>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</si>
  <si>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</si>
  <si>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</si>
  <si>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</si>
  <si>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</si>
  <si>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</si>
  <si>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</si>
  <si>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</si>
  <si>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</si>
  <si>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</si>
  <si>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</si>
  <si>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</si>
  <si>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</si>
  <si>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</si>
  <si>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</si>
  <si>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</si>
  <si>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</si>
  <si>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</si>
  <si>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</si>
  <si>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</si>
  <si>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</si>
  <si>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</si>
  <si>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</si>
  <si>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</si>
  <si>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</si>
  <si>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</si>
  <si>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</si>
  <si>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</si>
  <si>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</si>
  <si>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</si>
  <si>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</si>
  <si>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</si>
  <si>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</si>
  <si>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</si>
  <si>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</si>
  <si>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</si>
  <si>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</si>
  <si>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</si>
  <si>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</si>
  <si>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</si>
  <si>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</si>
  <si>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</si>
  <si>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</si>
  <si>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</si>
  <si>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</si>
  <si>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</si>
  <si>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</si>
  <si>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</si>
  <si>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</si>
  <si>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</si>
  <si>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</si>
  <si>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</si>
  <si>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</si>
  <si>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</si>
  <si>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</si>
  <si>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</si>
  <si>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</si>
  <si>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</si>
  <si>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</si>
  <si>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</si>
  <si>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</si>
  <si>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</si>
  <si>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</si>
  <si>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</si>
  <si>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</si>
  <si>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</si>
  <si>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</si>
  <si>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</si>
  <si>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</si>
  <si>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</si>
  <si>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</si>
  <si>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</si>
  <si>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</si>
  <si>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</si>
  <si>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</si>
  <si>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</si>
  <si>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</si>
  <si>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</si>
  <si>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</si>
  <si>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</si>
  <si>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</si>
  <si>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</si>
  <si>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</si>
  <si>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</si>
  <si>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</si>
  <si>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</si>
  <si>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</si>
  <si>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</si>
  <si>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</si>
  <si>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</si>
  <si>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</si>
  <si>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</si>
  <si>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</si>
  <si>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</si>
  <si>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</si>
  <si>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</si>
  <si>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</si>
  <si>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</si>
  <si>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</si>
  <si>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</si>
  <si>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</si>
  <si>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</si>
  <si>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</si>
  <si>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</si>
  <si>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</si>
  <si>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</si>
  <si>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</si>
  <si>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</si>
  <si>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</si>
  <si>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</si>
  <si>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</si>
  <si>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</si>
  <si>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</si>
  <si>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</si>
  <si>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</si>
  <si>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</si>
  <si>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</si>
  <si>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</si>
  <si>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</si>
  <si>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</si>
  <si>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</si>
  <si>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</si>
  <si>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</si>
  <si>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</si>
  <si>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</si>
  <si>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</si>
  <si>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</si>
  <si>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</si>
  <si>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</si>
  <si>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</si>
  <si>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</si>
  <si>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</si>
  <si>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</si>
  <si>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</si>
  <si>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</si>
  <si>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</si>
  <si>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</si>
  <si>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</si>
  <si>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</si>
  <si>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</si>
  <si>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</si>
  <si>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</si>
  <si>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</si>
  <si>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</si>
  <si>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</si>
  <si>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</si>
  <si>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</si>
  <si>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</si>
  <si>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</si>
  <si>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</si>
  <si>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</si>
  <si>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</si>
  <si>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</si>
  <si>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</si>
  <si>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</si>
  <si>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</si>
  <si>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</si>
  <si>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</si>
  <si>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</si>
  <si>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</si>
  <si>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</si>
  <si>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</si>
  <si>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</si>
  <si>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</si>
  <si>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</si>
  <si>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</si>
  <si>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</si>
  <si>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</si>
  <si>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</si>
  <si>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</si>
  <si>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</si>
  <si>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</si>
  <si>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</si>
  <si>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</si>
  <si>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</si>
  <si>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</si>
  <si>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</si>
  <si>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</si>
  <si>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</si>
  <si>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</si>
  <si>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</si>
  <si>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</si>
  <si>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</si>
  <si>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</si>
  <si>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</si>
  <si>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</si>
  <si>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</si>
  <si>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</si>
  <si>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</si>
  <si>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</si>
  <si>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</si>
  <si>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</si>
  <si>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</si>
  <si>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</si>
  <si>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</si>
  <si>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</si>
  <si>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</si>
  <si>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</si>
  <si>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</si>
  <si>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</si>
  <si>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</si>
  <si>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</si>
  <si>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</si>
  <si>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</si>
  <si>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</si>
  <si>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</si>
  <si>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</si>
  <si>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</si>
  <si>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</si>
  <si>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</si>
  <si>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</si>
  <si>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</si>
  <si>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</si>
  <si>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</si>
  <si>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</si>
  <si>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</si>
  <si>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</si>
  <si>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</si>
  <si>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</si>
  <si>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</si>
  <si>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</si>
  <si>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</si>
  <si>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</si>
  <si>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</si>
  <si>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</si>
  <si>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</si>
  <si>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</si>
  <si>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</si>
  <si>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</si>
  <si>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</si>
  <si>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</si>
  <si>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</si>
  <si>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</si>
  <si>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</si>
  <si>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</si>
  <si>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</si>
  <si>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</si>
  <si>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</si>
  <si>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</si>
  <si>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</si>
  <si>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</si>
  <si>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</si>
  <si>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</si>
  <si>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</si>
  <si>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</si>
  <si>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</si>
  <si>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</si>
  <si>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</si>
  <si>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</si>
  <si>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</si>
  <si>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</si>
  <si>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</si>
  <si>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</si>
  <si>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</si>
  <si>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</si>
  <si>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</si>
  <si>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</si>
  <si>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</si>
  <si>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</si>
  <si>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</si>
  <si>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</si>
  <si>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</si>
  <si>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</si>
  <si>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</si>
  <si>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</si>
  <si>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</si>
  <si>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</si>
  <si>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</si>
  <si>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</si>
  <si>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</si>
  <si>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</si>
  <si>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</si>
  <si>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</si>
  <si>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</si>
  <si>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</si>
  <si>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</si>
  <si>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</si>
  <si>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</si>
  <si>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</si>
  <si>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</si>
  <si>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</si>
  <si>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</si>
  <si>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</si>
  <si>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</si>
  <si>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</si>
  <si>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</si>
  <si>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</si>
  <si>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</si>
  <si>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</si>
  <si>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</si>
  <si>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</si>
  <si>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</si>
  <si>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</si>
  <si>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</si>
  <si>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</si>
  <si>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</si>
  <si>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</si>
  <si>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</si>
  <si>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</si>
  <si>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</si>
  <si>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</si>
  <si>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</si>
  <si>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</si>
  <si>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</si>
  <si>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</si>
  <si>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</si>
  <si>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</si>
  <si>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</si>
  <si>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</si>
  <si>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</si>
  <si>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</si>
  <si>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</si>
  <si>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</si>
  <si>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</si>
  <si>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</si>
  <si>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</si>
  <si>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</si>
  <si>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</si>
  <si>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</si>
  <si>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</si>
  <si>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</si>
  <si>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</si>
  <si>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</si>
  <si>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</si>
  <si>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</si>
  <si>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</si>
  <si>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</si>
  <si>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</si>
  <si>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</si>
  <si>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</si>
  <si>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</si>
  <si>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</si>
  <si>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</si>
  <si>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</si>
  <si>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</si>
  <si>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</si>
  <si>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</si>
  <si>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</si>
  <si>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</si>
  <si>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</si>
  <si>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</si>
  <si>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</si>
  <si>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</si>
  <si>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</si>
  <si>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</si>
  <si>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</si>
  <si>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</si>
  <si>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</si>
  <si>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</si>
  <si>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</si>
  <si>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</si>
  <si>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</si>
  <si>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</si>
  <si>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</si>
  <si>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</si>
  <si>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</si>
  <si>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</si>
  <si>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</si>
  <si>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</si>
  <si>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</si>
  <si>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</si>
  <si>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</si>
  <si>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</si>
  <si>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</si>
  <si>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</si>
  <si>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</si>
  <si>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</si>
  <si>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</si>
  <si>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</si>
  <si>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</si>
  <si>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</si>
  <si>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</si>
  <si>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</si>
  <si>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</si>
  <si>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</si>
  <si>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</si>
  <si>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</si>
  <si>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</si>
  <si>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</si>
  <si>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</si>
  <si>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</si>
  <si>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</si>
  <si>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</si>
  <si>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</si>
  <si>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</si>
  <si>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</si>
  <si>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</si>
  <si>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</si>
  <si>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</si>
  <si>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</si>
  <si>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</si>
  <si>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</si>
  <si>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</si>
  <si>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</si>
  <si>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</si>
  <si>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</si>
  <si>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</si>
  <si>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</si>
  <si>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</si>
  <si>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</si>
  <si>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</si>
  <si>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</si>
  <si>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</si>
  <si>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</si>
  <si>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</si>
  <si>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</si>
  <si>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</si>
  <si>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</si>
  <si>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</si>
  <si>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</si>
  <si>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</si>
  <si>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</si>
  <si>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</si>
  <si>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</si>
  <si>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</si>
  <si>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</si>
  <si>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</si>
  <si>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</si>
  <si>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</si>
  <si>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</si>
  <si>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</si>
  <si>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</si>
  <si>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</si>
  <si>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</si>
  <si>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</si>
  <si>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</si>
  <si>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</si>
  <si>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</si>
  <si>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</si>
  <si>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</si>
  <si>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</si>
  <si>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</si>
  <si>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</si>
  <si>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</si>
  <si>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</si>
  <si>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</si>
  <si>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</si>
  <si>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</si>
  <si>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</si>
  <si>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</si>
  <si>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</si>
  <si>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</si>
  <si>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</si>
  <si>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</si>
  <si>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</si>
  <si>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</si>
  <si>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</si>
  <si>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</si>
  <si>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</si>
  <si>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</si>
  <si>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</si>
  <si>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</si>
  <si>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</si>
  <si>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</si>
  <si>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</si>
  <si>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</si>
  <si>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</si>
  <si>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</si>
  <si>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</si>
  <si>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</si>
  <si>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</si>
  <si>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</si>
  <si>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</si>
  <si>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</si>
  <si>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</si>
  <si>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</si>
  <si>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</si>
  <si>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</si>
  <si>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</si>
  <si>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</si>
  <si>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</si>
  <si>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</si>
  <si>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</si>
  <si>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</si>
  <si>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</si>
  <si>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</si>
  <si>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</si>
  <si>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</si>
  <si>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</si>
  <si>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</si>
  <si>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</si>
  <si>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</si>
  <si>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</si>
  <si>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</si>
  <si>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</si>
  <si>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</si>
  <si>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</si>
  <si>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</si>
  <si>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</si>
  <si>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</si>
  <si>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</si>
  <si>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</si>
  <si>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</si>
  <si>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</si>
  <si>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</si>
  <si>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</si>
  <si>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</si>
  <si>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</si>
  <si>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</si>
  <si>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</si>
  <si>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</si>
  <si>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</si>
  <si>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</si>
  <si>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</si>
  <si>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</si>
  <si>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</si>
  <si>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</si>
  <si>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</si>
  <si>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</si>
  <si>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</si>
  <si>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</si>
  <si>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</si>
  <si>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</si>
  <si>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</si>
  <si>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</si>
  <si>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</si>
  <si>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</si>
  <si>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</si>
  <si>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</si>
  <si>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</si>
  <si>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</si>
  <si>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</si>
  <si>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</si>
  <si>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</si>
  <si>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</si>
  <si>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</si>
  <si>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</si>
  <si>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</si>
  <si>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</si>
  <si>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</si>
  <si>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</si>
  <si>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</si>
  <si>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</si>
  <si>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</si>
  <si>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</si>
  <si>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</si>
  <si>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</si>
  <si>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</si>
  <si>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</si>
  <si>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</si>
  <si>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</si>
  <si>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</si>
  <si>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</si>
  <si>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</si>
  <si>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</si>
  <si>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</si>
  <si>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</si>
  <si>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</si>
  <si>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</si>
  <si>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</si>
  <si>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</si>
  <si>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</si>
  <si>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</si>
  <si>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</si>
  <si>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</si>
  <si>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</si>
  <si>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</si>
  <si>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</si>
  <si>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</si>
  <si>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</si>
  <si>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</si>
  <si>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</si>
  <si>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</si>
  <si>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</si>
  <si>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</si>
  <si>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</si>
  <si>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</si>
  <si>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</si>
  <si>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</si>
  <si>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</si>
  <si>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</si>
  <si>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</si>
  <si>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</si>
  <si>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</si>
  <si>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</si>
  <si>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</si>
  <si>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</si>
  <si>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</si>
  <si>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</si>
  <si>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</si>
  <si>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</si>
  <si>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</si>
  <si>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</si>
  <si>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</si>
  <si>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</si>
  <si>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</si>
  <si>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</si>
  <si>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</si>
  <si>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</si>
  <si>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</si>
  <si>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</si>
  <si>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</si>
  <si>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</si>
  <si>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</si>
  <si>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</si>
  <si>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</si>
  <si>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</si>
  <si>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</si>
  <si>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</si>
  <si>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</si>
  <si>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</si>
  <si>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</si>
  <si>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</si>
  <si>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</si>
  <si>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</si>
  <si>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</si>
  <si>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</si>
  <si>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</si>
  <si>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</si>
  <si>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</si>
  <si>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</si>
  <si>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</si>
  <si>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</si>
  <si>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</si>
  <si>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</si>
  <si>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</si>
  <si>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</si>
  <si>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</si>
  <si>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</si>
  <si>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</si>
  <si>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</si>
  <si>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</si>
  <si>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</si>
  <si>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</si>
  <si>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</si>
  <si>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</si>
  <si>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</si>
  <si>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</si>
  <si>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</si>
  <si>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</si>
  <si>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</si>
  <si>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</si>
  <si>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</si>
  <si>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</si>
  <si>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</si>
  <si>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</si>
  <si>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</si>
  <si>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</si>
  <si>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</si>
  <si>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</si>
  <si>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</si>
  <si>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</si>
  <si>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</si>
  <si>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</si>
  <si>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</si>
  <si>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</si>
  <si>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</si>
  <si>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</si>
  <si>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</si>
  <si>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</si>
  <si>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</si>
  <si>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</si>
  <si>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</si>
  <si>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</si>
  <si>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</si>
  <si>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</si>
  <si>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</si>
  <si>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</si>
  <si>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</si>
  <si>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</si>
  <si>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</si>
  <si>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</si>
  <si>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</si>
  <si>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</si>
  <si>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</si>
  <si>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</si>
  <si>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</si>
  <si>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</si>
  <si>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</si>
  <si>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</si>
  <si>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</si>
  <si>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</si>
  <si>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</si>
  <si>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</si>
  <si>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</si>
  <si>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</si>
  <si>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</si>
  <si>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</si>
  <si>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</si>
  <si>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</si>
  <si>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</si>
  <si>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</si>
  <si>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</si>
  <si>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</si>
  <si>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</si>
  <si>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</si>
  <si>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</si>
  <si>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</si>
  <si>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</si>
  <si>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</si>
  <si>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</si>
  <si>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</si>
  <si>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</si>
  <si>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</si>
  <si>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</si>
  <si>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</si>
  <si>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</si>
  <si>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</si>
  <si>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</si>
  <si>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</si>
  <si>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</si>
  <si>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</si>
  <si>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</si>
  <si>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</si>
  <si>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</si>
  <si>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</si>
  <si>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</si>
  <si>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</si>
  <si>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</si>
  <si>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</si>
  <si>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</si>
  <si>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</si>
  <si>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</si>
  <si>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</si>
  <si>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</si>
  <si>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</si>
  <si>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</si>
  <si>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</si>
  <si>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</si>
  <si>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</si>
  <si>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</si>
  <si>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</si>
  <si>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</si>
  <si>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</si>
  <si>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</si>
  <si>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</si>
  <si>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</si>
  <si>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</si>
  <si>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</si>
  <si>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</si>
  <si>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</si>
  <si>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</si>
  <si>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</si>
  <si>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</si>
  <si>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</si>
  <si>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</si>
  <si>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</si>
  <si>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</si>
  <si>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</si>
  <si>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</si>
  <si>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</si>
  <si>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</si>
  <si>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</si>
  <si>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</si>
  <si>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</si>
  <si>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</si>
  <si>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</si>
  <si>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</si>
  <si>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</si>
  <si>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</si>
  <si>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</si>
  <si>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</si>
  <si>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</si>
  <si>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</si>
  <si>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</si>
  <si>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</si>
  <si>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</si>
  <si>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</si>
  <si>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</si>
  <si>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</si>
  <si>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</si>
  <si>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</si>
  <si>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</si>
  <si>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</si>
  <si>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</si>
  <si>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</si>
  <si>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</si>
  <si>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</si>
  <si>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</si>
  <si>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</si>
  <si>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</si>
  <si>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</si>
  <si>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</si>
  <si>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</si>
  <si>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</si>
  <si>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</si>
  <si>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</si>
  <si>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</si>
  <si>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</si>
  <si>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</si>
  <si>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</si>
  <si>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</si>
  <si>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</si>
  <si>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</si>
  <si>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</si>
  <si>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</si>
  <si>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</si>
  <si>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</si>
  <si>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</si>
  <si>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</si>
  <si>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</si>
  <si>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</si>
  <si>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</si>
  <si>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</si>
  <si>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</si>
  <si>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</si>
  <si>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</si>
  <si>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</si>
  <si>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</si>
  <si>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</si>
  <si>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</si>
  <si>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</si>
  <si>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</si>
  <si>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</si>
  <si>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</si>
  <si>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</si>
  <si>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</si>
  <si>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</si>
  <si>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</si>
  <si>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</si>
  <si>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</si>
  <si>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</si>
  <si>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</si>
  <si>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</si>
  <si>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</si>
  <si>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</si>
  <si>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</si>
  <si>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</si>
  <si>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</si>
  <si>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</si>
  <si>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</si>
  <si>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</si>
  <si>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</si>
  <si>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</si>
  <si>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</si>
  <si>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</si>
  <si>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</si>
  <si>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</si>
  <si>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</si>
  <si>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</si>
  <si>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</si>
  <si>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</si>
  <si>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</si>
  <si>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</si>
  <si>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</si>
  <si>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</si>
  <si>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</si>
  <si>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</si>
  <si>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</si>
  <si>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</si>
  <si>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</si>
  <si>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</si>
  <si>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</si>
  <si>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</si>
  <si>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</si>
  <si>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</si>
  <si>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</si>
  <si>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</si>
  <si>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</si>
  <si>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</si>
  <si>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</si>
  <si>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</si>
  <si>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</si>
  <si>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</si>
  <si>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</si>
  <si>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</si>
  <si>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</si>
  <si>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</si>
  <si>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</si>
  <si>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</si>
  <si>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</si>
  <si>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</si>
  <si>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</si>
  <si>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</si>
  <si>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</si>
  <si>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</si>
  <si>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</si>
  <si>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</si>
  <si>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</si>
  <si>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</si>
  <si>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</si>
  <si>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</si>
  <si>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</si>
  <si>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</si>
  <si>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</si>
  <si>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</si>
  <si>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</si>
  <si>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</si>
  <si>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</si>
  <si>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</si>
  <si>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</si>
  <si>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</si>
  <si>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</si>
  <si>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</si>
  <si>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</si>
  <si>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</si>
  <si>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</si>
  <si>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</si>
  <si>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</si>
  <si>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</si>
  <si>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</si>
  <si>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</si>
  <si>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</si>
  <si>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</si>
  <si>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</si>
  <si>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</si>
  <si>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</si>
  <si>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</si>
  <si>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</si>
  <si>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</si>
  <si>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</si>
  <si>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</si>
  <si>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</si>
  <si>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</si>
  <si>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</si>
  <si>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</si>
  <si>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</si>
  <si>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</si>
  <si>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</si>
  <si>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</si>
  <si>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</si>
  <si>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</si>
  <si>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</si>
  <si>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</si>
  <si>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</si>
  <si>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</si>
  <si>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</si>
  <si>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</si>
  <si>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</si>
  <si>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</si>
  <si>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</si>
  <si>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</si>
  <si>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</si>
  <si>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</si>
  <si>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</si>
  <si>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</si>
  <si>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</si>
  <si>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</si>
  <si>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</si>
  <si>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</si>
  <si>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</si>
  <si>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</si>
  <si>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</si>
  <si>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</si>
  <si>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</si>
  <si>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</si>
  <si>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</si>
  <si>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</si>
  <si>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</si>
  <si>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</si>
  <si>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</si>
  <si>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</si>
  <si>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</si>
  <si>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</si>
  <si>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</si>
  <si>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</si>
  <si>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</si>
  <si>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</si>
  <si>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</si>
  <si>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</si>
  <si>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</si>
  <si>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</si>
  <si>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</si>
  <si>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</si>
  <si>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</si>
  <si>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</si>
  <si>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</si>
  <si>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</si>
  <si>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</si>
  <si>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</si>
  <si>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</si>
  <si>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</si>
  <si>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</si>
  <si>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</si>
  <si>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</si>
  <si>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</si>
  <si>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</si>
  <si>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</si>
  <si>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</si>
  <si>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</si>
  <si>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</si>
  <si>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</si>
  <si>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</si>
  <si>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</si>
  <si>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</si>
  <si>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</si>
  <si>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</si>
  <si>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</si>
  <si>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</si>
  <si>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</si>
  <si>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</si>
  <si>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</si>
  <si>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</si>
  <si>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</si>
  <si>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</si>
  <si>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</si>
  <si>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</si>
  <si>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</si>
  <si>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</si>
  <si>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</si>
  <si>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</si>
  <si>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</si>
  <si>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</si>
  <si>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</si>
  <si>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</si>
  <si>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</si>
  <si>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</si>
  <si>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</si>
  <si>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</si>
  <si>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</si>
  <si>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</si>
  <si>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</si>
  <si>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</si>
  <si>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</si>
  <si>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</si>
  <si>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</si>
  <si>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</si>
  <si>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</si>
  <si>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</si>
  <si>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</si>
  <si>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</si>
  <si>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</si>
  <si>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</si>
  <si>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</si>
  <si>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</si>
  <si>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</si>
  <si>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</si>
  <si>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</si>
  <si>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</si>
  <si>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</si>
  <si>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</si>
  <si>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</si>
  <si>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</si>
  <si>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</si>
  <si>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</si>
  <si>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</si>
  <si>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</si>
  <si>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</si>
  <si>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</si>
  <si>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</si>
  <si>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</si>
  <si>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</si>
  <si>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</si>
  <si>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</si>
  <si>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</si>
  <si>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</si>
  <si>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</si>
  <si>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</si>
  <si>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</si>
  <si>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</si>
  <si>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</si>
  <si>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</si>
  <si>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</si>
  <si>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</si>
  <si>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</si>
  <si>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</si>
  <si>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</si>
  <si>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</si>
  <si>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</si>
  <si>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</si>
  <si>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</si>
  <si>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</si>
  <si>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</si>
  <si>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</si>
  <si>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</si>
  <si>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</si>
  <si>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</si>
  <si>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</si>
  <si>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</si>
  <si>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</si>
  <si>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</si>
  <si>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</si>
  <si>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</si>
  <si>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</si>
  <si>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</si>
  <si>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</si>
  <si>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</si>
  <si>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</si>
  <si>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</si>
  <si>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</si>
  <si>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</si>
  <si>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</si>
  <si>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</si>
  <si>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</si>
  <si>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</si>
  <si>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</si>
  <si>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</si>
  <si>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</si>
  <si>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</si>
  <si>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</si>
  <si>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</si>
  <si>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</si>
  <si>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</si>
  <si>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</si>
  <si>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</si>
  <si>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</si>
  <si>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</si>
  <si>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</si>
  <si>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</si>
  <si>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</si>
  <si>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</si>
  <si>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</si>
  <si>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</si>
  <si>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</si>
  <si>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</si>
  <si>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</si>
  <si>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</si>
  <si>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</si>
  <si>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</si>
  <si>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</si>
  <si>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</si>
  <si>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</si>
  <si>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</si>
  <si>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</si>
  <si>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</si>
  <si>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</si>
  <si>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</si>
  <si>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</si>
  <si>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</si>
  <si>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</si>
  <si>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</si>
  <si>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</si>
  <si>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</si>
  <si>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</si>
  <si>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</si>
  <si>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</si>
  <si>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</si>
  <si>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</si>
  <si>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</si>
  <si>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</si>
  <si>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</si>
  <si>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</si>
  <si>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</si>
  <si>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</si>
  <si>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</si>
  <si>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</si>
  <si>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</si>
  <si>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</si>
  <si>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</si>
  <si>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</si>
  <si>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</si>
  <si>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</si>
  <si>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</si>
  <si>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</si>
  <si>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</si>
  <si>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</si>
  <si>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</si>
  <si>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</si>
  <si>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</si>
  <si>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</si>
  <si>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</si>
  <si>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</si>
  <si>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</si>
  <si>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</si>
  <si>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</si>
  <si>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</si>
  <si>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</si>
  <si>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</si>
  <si>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</si>
  <si>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</si>
  <si>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</si>
  <si>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</si>
  <si>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</si>
  <si>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</si>
  <si>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</si>
  <si>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</si>
  <si>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</si>
  <si>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</si>
  <si>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</si>
  <si>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</si>
  <si>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</si>
  <si>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</si>
  <si>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</si>
  <si>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</si>
  <si>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</si>
  <si>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</si>
  <si>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</si>
  <si>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</si>
  <si>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</si>
  <si>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</si>
  <si>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</si>
  <si>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</si>
  <si>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</si>
  <si>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</si>
  <si>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</si>
  <si>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</si>
  <si>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</si>
  <si>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</si>
  <si>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</si>
  <si>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</si>
  <si>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</si>
  <si>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</si>
  <si>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</si>
  <si>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</si>
  <si>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</si>
  <si>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</si>
  <si>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</si>
  <si>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</si>
  <si>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</si>
  <si>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</si>
  <si>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</si>
  <si>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</si>
  <si>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</si>
  <si>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</si>
  <si>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</si>
  <si>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</si>
  <si>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</si>
  <si>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</si>
  <si>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</si>
  <si>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</si>
  <si>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</si>
  <si>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</si>
  <si>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</si>
  <si>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</si>
  <si>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</si>
  <si>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</si>
  <si>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</si>
  <si>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</si>
  <si>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</si>
  <si>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</si>
  <si>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</si>
  <si>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</si>
  <si>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</si>
  <si>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</si>
  <si>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</si>
  <si>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</si>
  <si>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</si>
  <si>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</si>
  <si>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</si>
  <si>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</si>
  <si>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</si>
  <si>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</si>
  <si>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</si>
  <si>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</si>
  <si>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</si>
  <si>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</si>
  <si>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</si>
  <si>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</si>
  <si>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</si>
  <si>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</si>
  <si>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</si>
  <si>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</si>
  <si>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</si>
  <si>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</si>
  <si>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</si>
  <si>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</si>
  <si>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</si>
  <si>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</si>
  <si>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</si>
  <si>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</si>
  <si>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</si>
  <si>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</si>
  <si>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</si>
  <si>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</si>
  <si>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</si>
  <si>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</si>
  <si>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</si>
  <si>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</si>
  <si>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</si>
  <si>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</si>
  <si>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</si>
  <si>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</si>
  <si>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</si>
  <si>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</si>
  <si>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</si>
  <si>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</si>
  <si>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</si>
  <si>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</si>
  <si>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</si>
  <si>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</si>
  <si>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</si>
  <si>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</si>
  <si>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</si>
  <si>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</si>
  <si>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</si>
  <si>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</si>
  <si>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</si>
  <si>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</si>
  <si>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</si>
  <si>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</si>
  <si>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</si>
  <si>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</si>
  <si>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</si>
  <si>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</si>
  <si>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</si>
  <si>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</si>
  <si>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</si>
  <si>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</si>
  <si>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</si>
  <si>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</si>
  <si>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For Trends</t>
  </si>
  <si>
    <t>Row Labels</t>
  </si>
  <si>
    <t>Grand Total</t>
  </si>
  <si>
    <t>Unknown</t>
  </si>
  <si>
    <t>Male</t>
  </si>
  <si>
    <t>Female</t>
  </si>
  <si>
    <t>Other</t>
  </si>
  <si>
    <t>Column Labels</t>
  </si>
  <si>
    <t>For Matrix</t>
  </si>
  <si>
    <t>Order Qty Analysis</t>
  </si>
  <si>
    <t>6 to 10</t>
  </si>
  <si>
    <t>More than 10</t>
  </si>
  <si>
    <t>Products by Qty</t>
  </si>
  <si>
    <t>Geographical Analysis</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</si>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</sst>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5">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theme="1"/>
      <name val="Aptos Narrow"/>
      <scheme val="minor"/>
    </font>
  </fonts>
  <fills count="6">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quotePrefix="1"/>
    <xf numFmtId="0" fontId="3" fillId="0" borderId="0" xfId="1"/>
    <xf numFmtId="0" fontId="0" fillId="0" borderId="0" xfId="0" applyNumberFormat="1"/>
    <xf numFmtId="0" fontId="4" fillId="0" borderId="0" xfId="0" applyFont="1"/>
    <xf numFmtId="0" fontId="0" fillId="3" borderId="0" xfId="0" applyFill="1"/>
    <xf numFmtId="0" fontId="0" fillId="4"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165" fontId="0" fillId="0" borderId="2" xfId="0" applyNumberFormat="1" applyBorder="1"/>
    <xf numFmtId="0" fontId="1" fillId="0" borderId="0" xfId="0" applyFont="1"/>
    <xf numFmtId="0" fontId="1" fillId="0" borderId="1" xfId="0" applyFont="1" applyBorder="1"/>
    <xf numFmtId="0" fontId="1" fillId="5" borderId="0" xfId="0" applyFont="1" applyFill="1"/>
    <xf numFmtId="0" fontId="1" fillId="5" borderId="1" xfId="0" applyFont="1" applyFill="1" applyBorder="1"/>
    <xf numFmtId="10" fontId="1" fillId="5" borderId="3" xfId="0" applyNumberFormat="1" applyFont="1" applyFill="1" applyBorder="1"/>
  </cellXfs>
  <cellStyles count="2">
    <cellStyle name="Hyperlink" xfId="1" builtinId="8"/>
    <cellStyle name="Normal" xfId="0" builtinId="0"/>
  </cellStyles>
  <dxfs count="28">
    <dxf>
      <fill>
        <patternFill patternType="solid">
          <bgColor theme="9" tint="0.59999389629810485"/>
        </patternFill>
      </fill>
    </dxf>
    <dxf>
      <fill>
        <patternFill patternType="solid">
          <bgColor theme="9" tint="0.39997558519241921"/>
        </patternFill>
      </fill>
    </dxf>
    <dxf>
      <fill>
        <patternFill>
          <bgColor theme="9" tint="0.59999389629810485"/>
        </patternFill>
      </fill>
    </dxf>
    <dxf>
      <fill>
        <patternFill patternType="solid">
          <bgColor theme="9" tint="0.59999389629810485"/>
        </patternFill>
      </fill>
    </dxf>
    <dxf>
      <numFmt numFmtId="164" formatCode="[$$-409]#,##0"/>
    </dxf>
    <dxf>
      <numFmt numFmtId="164" formatCode="[$$-409]#,##0"/>
    </dxf>
    <dxf>
      <numFmt numFmtId="164" formatCode="[$$-409]#,##0"/>
    </dxf>
    <dxf>
      <fill>
        <patternFill patternType="solid">
          <bgColor theme="9" tint="0.59999389629810485"/>
        </patternFill>
      </fill>
    </dxf>
    <dxf>
      <fill>
        <patternFill patternType="solid">
          <bgColor theme="9" tint="0.39997558519241921"/>
        </patternFill>
      </fill>
    </dxf>
    <dxf>
      <fill>
        <patternFill>
          <bgColor theme="9" tint="0.59999389629810485"/>
        </patternFill>
      </fill>
    </dxf>
    <dxf>
      <fill>
        <patternFill patternType="solid">
          <bgColor theme="9" tint="0.59999389629810485"/>
        </patternFill>
      </fill>
    </dxf>
    <dxf>
      <numFmt numFmtId="164" formatCode="[$$-409]#,##0"/>
    </dxf>
    <dxf>
      <numFmt numFmtId="164" formatCode="[$$-409]#,##0"/>
    </dxf>
    <dxf>
      <numFmt numFmtId="164" formatCode="[$$-409]#,##0"/>
    </dxf>
    <dxf>
      <numFmt numFmtId="0" formatCode="General"/>
    </dxf>
    <dxf>
      <numFmt numFmtId="0" formatCode="General"/>
    </dxf>
    <dxf>
      <numFmt numFmtId="0" formatCode="General"/>
    </dxf>
    <dxf>
      <numFmt numFmtId="166" formatCode="d\-mmm\-yy"/>
    </dxf>
    <dxf>
      <numFmt numFmtId="166" formatCode="d\-mmm\-yy"/>
    </dxf>
    <dxf>
      <numFmt numFmtId="164" formatCode="[$$-409]#,##0"/>
    </dxf>
    <dxf>
      <numFmt numFmtId="164" formatCode="[$$-409]#,##0"/>
    </dxf>
    <dxf>
      <numFmt numFmtId="164" formatCode="[$$-409]#,##0"/>
    </dxf>
    <dxf>
      <fill>
        <patternFill patternType="solid">
          <bgColor theme="9" tint="0.59999389629810485"/>
        </patternFill>
      </fill>
    </dxf>
    <dxf>
      <fill>
        <patternFill>
          <bgColor theme="9" tint="0.59999389629810485"/>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s>
  <tableStyles count="0" defaultTableStyle="TableStyleMedium2" defaultPivotStyle="PivotStyleLight16"/>
  <colors>
    <mruColors>
      <color rgb="FF130C54"/>
      <color rgb="FFDDA823"/>
      <color rgb="FF3387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Calif).xlsx]Pivots!pvtProduct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Pivots!$B$36</c:f>
              <c:strCache>
                <c:ptCount val="1"/>
                <c:pt idx="0">
                  <c:v>Total</c:v>
                </c:pt>
              </c:strCache>
            </c:strRef>
          </c:tx>
          <c:spPr>
            <a:solidFill>
              <a:schemeClr val="accent1"/>
            </a:solidFill>
            <a:ln>
              <a:noFill/>
            </a:ln>
            <a:effectLst/>
          </c:spPr>
          <c:invertIfNegative val="0"/>
          <c:cat>
            <c:strRef>
              <c:f>Pivots!$A$37:$A$44</c:f>
              <c:strCache>
                <c:ptCount val="7"/>
                <c:pt idx="0">
                  <c:v>1</c:v>
                </c:pt>
                <c:pt idx="1">
                  <c:v>2</c:v>
                </c:pt>
                <c:pt idx="2">
                  <c:v>3</c:v>
                </c:pt>
                <c:pt idx="3">
                  <c:v>4</c:v>
                </c:pt>
                <c:pt idx="4">
                  <c:v>5</c:v>
                </c:pt>
                <c:pt idx="5">
                  <c:v>6 to 10</c:v>
                </c:pt>
                <c:pt idx="6">
                  <c:v>More than 10</c:v>
                </c:pt>
              </c:strCache>
            </c:strRef>
          </c:cat>
          <c:val>
            <c:numRef>
              <c:f>Pivots!$B$37:$B$44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AC9-41FA-83E3-3F5F71258263}"/>
            </c:ext>
          </c:extLst>
        </c:ser>
        <c:dLbls>
          <c:showLegendKey val="0"/>
          <c:showVal val="0"/>
          <c:showCatName val="0"/>
          <c:showSerName val="0"/>
          <c:showPercent val="0"/>
          <c:showBubbleSize val="0"/>
        </c:dLbls>
        <c:gapWidth val="219"/>
        <c:overlap val="-27"/>
        <c:axId val="1495935631"/>
        <c:axId val="1495936463"/>
      </c:barChart>
      <c:catAx>
        <c:axId val="149593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36463"/>
        <c:crosses val="autoZero"/>
        <c:auto val="1"/>
        <c:lblAlgn val="ctr"/>
        <c:lblOffset val="100"/>
        <c:noMultiLvlLbl val="0"/>
      </c:catAx>
      <c:valAx>
        <c:axId val="149593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Last</a:t>
            </a:r>
            <a:r>
              <a:rPr lang="en-IN" b="1" baseline="0">
                <a:solidFill>
                  <a:schemeClr val="tx1"/>
                </a:solidFill>
              </a:rPr>
              <a:t> 13 Week Trend - Qty &amp; Amount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rgbClr val="FFC000"/>
              </a:solidFill>
              <a:round/>
            </a:ln>
            <a:effectLst/>
          </c:spPr>
          <c:marker>
            <c:symbol val="circle"/>
            <c:size val="5"/>
            <c:spPr>
              <a:solidFill>
                <a:schemeClr val="accent1"/>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492-4D66-BB58-F4F8576E110B}"/>
            </c:ext>
          </c:extLst>
        </c:ser>
        <c:dLbls>
          <c:showLegendKey val="0"/>
          <c:showVal val="0"/>
          <c:showCatName val="0"/>
          <c:showSerName val="0"/>
          <c:showPercent val="0"/>
          <c:showBubbleSize val="0"/>
        </c:dLbls>
        <c:marker val="1"/>
        <c:smooth val="0"/>
        <c:axId val="1497268591"/>
        <c:axId val="1497262767"/>
      </c:lineChart>
      <c:lineChart>
        <c:grouping val="standard"/>
        <c:varyColors val="0"/>
        <c:ser>
          <c:idx val="1"/>
          <c:order val="1"/>
          <c:tx>
            <c:strRef>
              <c:f>Pivots!$C$11</c:f>
              <c:strCache>
                <c:ptCount val="1"/>
                <c:pt idx="0">
                  <c:v>Sum of Amount</c:v>
                </c:pt>
              </c:strCache>
            </c:strRef>
          </c:tx>
          <c:spPr>
            <a:ln w="28575" cap="rnd">
              <a:solidFill>
                <a:schemeClr val="accent3"/>
              </a:solidFill>
              <a:round/>
            </a:ln>
            <a:effectLst/>
          </c:spPr>
          <c:marker>
            <c:symbol val="circle"/>
            <c:size val="5"/>
            <c:spPr>
              <a:solidFill>
                <a:schemeClr val="accent2"/>
              </a:solidFill>
              <a:ln w="9525">
                <a:solidFill>
                  <a:schemeClr val="accent2"/>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492-4D66-BB58-F4F8576E110B}"/>
            </c:ext>
          </c:extLst>
        </c:ser>
        <c:dLbls>
          <c:showLegendKey val="0"/>
          <c:showVal val="0"/>
          <c:showCatName val="0"/>
          <c:showSerName val="0"/>
          <c:showPercent val="0"/>
          <c:showBubbleSize val="0"/>
        </c:dLbls>
        <c:marker val="1"/>
        <c:smooth val="0"/>
        <c:axId val="1497247551"/>
        <c:axId val="1497245055"/>
      </c:lineChart>
      <c:catAx>
        <c:axId val="1497268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62767"/>
        <c:crosses val="autoZero"/>
        <c:auto val="1"/>
        <c:lblAlgn val="ctr"/>
        <c:lblOffset val="100"/>
        <c:noMultiLvlLbl val="0"/>
      </c:catAx>
      <c:valAx>
        <c:axId val="149726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68591"/>
        <c:crosses val="autoZero"/>
        <c:crossBetween val="between"/>
      </c:valAx>
      <c:valAx>
        <c:axId val="1497245055"/>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47551"/>
        <c:crosses val="max"/>
        <c:crossBetween val="between"/>
      </c:valAx>
      <c:catAx>
        <c:axId val="149724755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45055"/>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Calif).xlsx]Pivots!pvtProduct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many they buy?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Pivots!$B$36</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1</c:v>
                </c:pt>
                <c:pt idx="1">
                  <c:v>2</c:v>
                </c:pt>
                <c:pt idx="2">
                  <c:v>3</c:v>
                </c:pt>
                <c:pt idx="3">
                  <c:v>4</c:v>
                </c:pt>
                <c:pt idx="4">
                  <c:v>5</c:v>
                </c:pt>
                <c:pt idx="5">
                  <c:v>6 to 10</c:v>
                </c:pt>
                <c:pt idx="6">
                  <c:v>More than 10</c:v>
                </c:pt>
              </c:strCache>
            </c:strRef>
          </c:cat>
          <c:val>
            <c:numRef>
              <c:f>Pivots!$B$37:$B$44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8D9-42D5-B412-EBB1E1FB6389}"/>
            </c:ext>
          </c:extLst>
        </c:ser>
        <c:dLbls>
          <c:showLegendKey val="0"/>
          <c:showVal val="0"/>
          <c:showCatName val="0"/>
          <c:showSerName val="0"/>
          <c:showPercent val="0"/>
          <c:showBubbleSize val="0"/>
        </c:dLbls>
        <c:gapWidth val="10"/>
        <c:axId val="1495935631"/>
        <c:axId val="1495936463"/>
      </c:barChart>
      <c:catAx>
        <c:axId val="149593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36463"/>
        <c:crosses val="autoZero"/>
        <c:auto val="1"/>
        <c:lblAlgn val="ctr"/>
        <c:lblOffset val="100"/>
        <c:noMultiLvlLbl val="0"/>
      </c:catAx>
      <c:valAx>
        <c:axId val="149593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93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Calif).xlsx]Pivots!pvtQty</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50" b="1">
                <a:solidFill>
                  <a:schemeClr val="tx1"/>
                </a:solidFill>
              </a:rPr>
              <a:t>Which</a:t>
            </a:r>
            <a:r>
              <a:rPr lang="en-US" sz="1150" b="1" baseline="0">
                <a:solidFill>
                  <a:schemeClr val="tx1"/>
                </a:solidFill>
              </a:rPr>
              <a:t> products are popular? </a:t>
            </a:r>
            <a:r>
              <a:rPr lang="en-US" sz="1150" baseline="0">
                <a:solidFill>
                  <a:schemeClr val="tx1"/>
                </a:solidFill>
              </a:rPr>
              <a:t>Btreakdown by Gender</a:t>
            </a:r>
            <a:endParaRPr lang="en-US" sz="1150">
              <a:solidFill>
                <a:schemeClr val="tx1"/>
              </a:solidFill>
            </a:endParaRPr>
          </a:p>
        </c:rich>
      </c:tx>
      <c:layout>
        <c:manualLayout>
          <c:xMode val="edge"/>
          <c:yMode val="edge"/>
          <c:x val="0.13476151054185598"/>
          <c:y val="2.6666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Pivots!$B$53:$B$54</c:f>
              <c:strCache>
                <c:ptCount val="1"/>
              </c:strCache>
            </c:strRef>
          </c:tx>
          <c:spPr>
            <a:solidFill>
              <a:schemeClr val="accent1"/>
            </a:solidFill>
            <a:ln>
              <a:noFill/>
            </a:ln>
            <a:effectLst/>
          </c:spPr>
          <c:invertIfNegative val="0"/>
          <c:cat>
            <c:strRef>
              <c:f>Pivots!$A$55:$A$75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Pivots!$B$55:$B$75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D409-4053-9703-4A5F47F3288B}"/>
            </c:ext>
          </c:extLst>
        </c:ser>
        <c:ser>
          <c:idx val="1"/>
          <c:order val="1"/>
          <c:tx>
            <c:strRef>
              <c:f>Pivots!$C$53:$C$54</c:f>
              <c:strCache>
                <c:ptCount val="1"/>
                <c:pt idx="0">
                  <c:v>F</c:v>
                </c:pt>
              </c:strCache>
            </c:strRef>
          </c:tx>
          <c:spPr>
            <a:solidFill>
              <a:schemeClr val="accent2"/>
            </a:solidFill>
            <a:ln>
              <a:noFill/>
            </a:ln>
            <a:effectLst/>
          </c:spPr>
          <c:invertIfNegative val="0"/>
          <c:cat>
            <c:strRef>
              <c:f>Pivots!$A$55:$A$75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Pivots!$C$55:$C$75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580D-452F-9C83-2CD13375DFAA}"/>
            </c:ext>
          </c:extLst>
        </c:ser>
        <c:ser>
          <c:idx val="2"/>
          <c:order val="2"/>
          <c:tx>
            <c:strRef>
              <c:f>Pivots!$D$53:$D$54</c:f>
              <c:strCache>
                <c:ptCount val="1"/>
                <c:pt idx="0">
                  <c:v>M</c:v>
                </c:pt>
              </c:strCache>
            </c:strRef>
          </c:tx>
          <c:spPr>
            <a:solidFill>
              <a:schemeClr val="accent3"/>
            </a:solidFill>
            <a:ln>
              <a:noFill/>
            </a:ln>
            <a:effectLst/>
          </c:spPr>
          <c:invertIfNegative val="0"/>
          <c:cat>
            <c:strRef>
              <c:f>Pivots!$A$55:$A$75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Pivots!$D$55:$D$75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580D-452F-9C83-2CD13375DFAA}"/>
            </c:ext>
          </c:extLst>
        </c:ser>
        <c:ser>
          <c:idx val="3"/>
          <c:order val="3"/>
          <c:tx>
            <c:strRef>
              <c:f>Pivots!$E$53:$E$54</c:f>
              <c:strCache>
                <c:ptCount val="1"/>
                <c:pt idx="0">
                  <c:v>O</c:v>
                </c:pt>
              </c:strCache>
            </c:strRef>
          </c:tx>
          <c:spPr>
            <a:solidFill>
              <a:schemeClr val="accent4"/>
            </a:solidFill>
            <a:ln>
              <a:noFill/>
            </a:ln>
            <a:effectLst/>
          </c:spPr>
          <c:invertIfNegative val="0"/>
          <c:cat>
            <c:strRef>
              <c:f>Pivots!$A$55:$A$75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Pivots!$E$55:$E$75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580D-452F-9C83-2CD13375DFAA}"/>
            </c:ext>
          </c:extLst>
        </c:ser>
        <c:dLbls>
          <c:showLegendKey val="0"/>
          <c:showVal val="0"/>
          <c:showCatName val="0"/>
          <c:showSerName val="0"/>
          <c:showPercent val="0"/>
          <c:showBubbleSize val="0"/>
        </c:dLbls>
        <c:gapWidth val="150"/>
        <c:overlap val="100"/>
        <c:axId val="1502612863"/>
        <c:axId val="1502613279"/>
      </c:barChart>
      <c:catAx>
        <c:axId val="150261286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3279"/>
        <c:crosses val="autoZero"/>
        <c:auto val="1"/>
        <c:lblAlgn val="ctr"/>
        <c:lblOffset val="100"/>
        <c:noMultiLvlLbl val="0"/>
      </c:catAx>
      <c:valAx>
        <c:axId val="15026132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Calif).xlsx]Pivots!pvtGender</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bg1"/>
            </a:solidFill>
          </a:ln>
          <a:effectLst/>
          <a:scene3d>
            <a:camera prst="orthographicFront"/>
            <a:lightRig rig="threePt" dir="t"/>
          </a:scene3d>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bg1"/>
            </a:solidFill>
          </a:ln>
          <a:effectLst/>
          <a:scene3d>
            <a:camera prst="orthographicFront"/>
            <a:lightRig rig="threePt" dir="t"/>
          </a:scene3d>
          <a:sp3d/>
        </c:spPr>
        <c:dLbl>
          <c:idx val="0"/>
          <c:layout>
            <c:manualLayout>
              <c:x val="0.18645776357051985"/>
              <c:y val="4.83333423947023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25044156147141"/>
                  <c:h val="0.30082224276614916"/>
                </c:manualLayout>
              </c15:layout>
            </c:ext>
          </c:extLst>
        </c:dLbl>
      </c:pivotFmt>
      <c:pivotFmt>
        <c:idx val="8"/>
        <c:spPr>
          <a:solidFill>
            <a:schemeClr val="accent1"/>
          </a:solidFill>
          <a:ln w="19050">
            <a:solidFill>
              <a:schemeClr val="bg1"/>
            </a:solidFill>
          </a:ln>
          <a:effectLst/>
          <a:scene3d>
            <a:camera prst="orthographicFront"/>
            <a:lightRig rig="threePt" dir="t"/>
          </a:scene3d>
          <a:sp3d/>
        </c:spPr>
        <c:dLbl>
          <c:idx val="0"/>
          <c:layout>
            <c:manualLayout>
              <c:x val="-0.11893583724569642"/>
              <c:y val="0.186428606379566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bg1"/>
            </a:solidFill>
          </a:ln>
          <a:effectLst/>
          <a:scene3d>
            <a:camera prst="orthographicFront"/>
            <a:lightRig rig="threePt" dir="t"/>
          </a:scene3d>
          <a:sp3d/>
        </c:spPr>
        <c:dLbl>
          <c:idx val="0"/>
          <c:layout>
            <c:manualLayout>
              <c:x val="-0.21647351676613033"/>
              <c:y val="-9.6666860217424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bg1"/>
            </a:solidFill>
          </a:ln>
          <a:effectLst/>
          <a:scene3d>
            <a:camera prst="orthographicFront"/>
            <a:lightRig rig="threePt" dir="t"/>
          </a:scene3d>
          <a:sp3d/>
        </c:spPr>
        <c:dLbl>
          <c:idx val="0"/>
          <c:layout>
            <c:manualLayout>
              <c:x val="0.13268998793727382"/>
              <c:y val="-0.212475233888127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448098231883325"/>
                  <c:h val="0.30082224276614916"/>
                </c:manualLayout>
              </c15:layout>
            </c:ext>
          </c:extLst>
        </c:dLbl>
      </c:pivotFmt>
    </c:pivotFmts>
    <c:plotArea>
      <c:layout>
        <c:manualLayout>
          <c:layoutTarget val="inner"/>
          <c:xMode val="edge"/>
          <c:yMode val="edge"/>
          <c:x val="0.26838785996820819"/>
          <c:y val="0.265625"/>
          <c:w val="0.45070422535211269"/>
          <c:h val="0.5625"/>
        </c:manualLayout>
      </c:layout>
      <c:doughnutChart>
        <c:varyColors val="1"/>
        <c:ser>
          <c:idx val="0"/>
          <c:order val="0"/>
          <c:tx>
            <c:strRef>
              <c:f>Pivots!$J$59</c:f>
              <c:strCache>
                <c:ptCount val="1"/>
                <c:pt idx="0">
                  <c:v>Total</c:v>
                </c:pt>
              </c:strCache>
            </c:strRef>
          </c:tx>
          <c:spPr>
            <a:ln>
              <a:solidFill>
                <a:schemeClr val="bg1"/>
              </a:solidFill>
            </a:ln>
            <a:scene3d>
              <a:camera prst="orthographicFront"/>
              <a:lightRig rig="threePt" dir="t"/>
            </a:scene3d>
            <a:sp3d/>
          </c:spPr>
          <c:dPt>
            <c:idx val="0"/>
            <c:bubble3D val="0"/>
            <c:spPr>
              <a:solidFill>
                <a:schemeClr val="accent1"/>
              </a:solidFill>
              <a:ln w="19050">
                <a:solidFill>
                  <a:schemeClr val="bg1"/>
                </a:solidFill>
              </a:ln>
              <a:effectLst/>
              <a:scene3d>
                <a:camera prst="orthographicFront"/>
                <a:lightRig rig="threePt" dir="t"/>
              </a:scene3d>
              <a:sp3d/>
            </c:spPr>
            <c:extLst>
              <c:ext xmlns:c16="http://schemas.microsoft.com/office/drawing/2014/chart" uri="{C3380CC4-5D6E-409C-BE32-E72D297353CC}">
                <c16:uniqueId val="{00000001-9E4A-418F-BFB4-B9F20A9C6764}"/>
              </c:ext>
            </c:extLst>
          </c:dPt>
          <c:dPt>
            <c:idx val="1"/>
            <c:bubble3D val="0"/>
            <c:spPr>
              <a:solidFill>
                <a:schemeClr val="accent2"/>
              </a:solidFill>
              <a:ln w="19050">
                <a:solidFill>
                  <a:schemeClr val="bg1"/>
                </a:solidFill>
              </a:ln>
              <a:effectLst/>
              <a:scene3d>
                <a:camera prst="orthographicFront"/>
                <a:lightRig rig="threePt" dir="t"/>
              </a:scene3d>
              <a:sp3d/>
            </c:spPr>
            <c:extLst>
              <c:ext xmlns:c16="http://schemas.microsoft.com/office/drawing/2014/chart" uri="{C3380CC4-5D6E-409C-BE32-E72D297353CC}">
                <c16:uniqueId val="{00000003-9E4A-418F-BFB4-B9F20A9C6764}"/>
              </c:ext>
            </c:extLst>
          </c:dPt>
          <c:dPt>
            <c:idx val="2"/>
            <c:bubble3D val="0"/>
            <c:spPr>
              <a:solidFill>
                <a:schemeClr val="accent3"/>
              </a:solidFill>
              <a:ln w="19050">
                <a:solidFill>
                  <a:schemeClr val="bg1"/>
                </a:solidFill>
              </a:ln>
              <a:effectLst/>
              <a:scene3d>
                <a:camera prst="orthographicFront"/>
                <a:lightRig rig="threePt" dir="t"/>
              </a:scene3d>
              <a:sp3d/>
            </c:spPr>
            <c:extLst>
              <c:ext xmlns:c16="http://schemas.microsoft.com/office/drawing/2014/chart" uri="{C3380CC4-5D6E-409C-BE32-E72D297353CC}">
                <c16:uniqueId val="{00000005-9E4A-418F-BFB4-B9F20A9C6764}"/>
              </c:ext>
            </c:extLst>
          </c:dPt>
          <c:dPt>
            <c:idx val="3"/>
            <c:bubble3D val="0"/>
            <c:spPr>
              <a:solidFill>
                <a:schemeClr val="accent4"/>
              </a:solidFill>
              <a:ln w="19050">
                <a:solidFill>
                  <a:schemeClr val="bg1"/>
                </a:solidFill>
              </a:ln>
              <a:effectLst/>
              <a:scene3d>
                <a:camera prst="orthographicFront"/>
                <a:lightRig rig="threePt" dir="t"/>
              </a:scene3d>
              <a:sp3d/>
            </c:spPr>
            <c:extLst>
              <c:ext xmlns:c16="http://schemas.microsoft.com/office/drawing/2014/chart" uri="{C3380CC4-5D6E-409C-BE32-E72D297353CC}">
                <c16:uniqueId val="{00000007-9E4A-418F-BFB4-B9F20A9C6764}"/>
              </c:ext>
            </c:extLst>
          </c:dPt>
          <c:dLbls>
            <c:dLbl>
              <c:idx val="0"/>
              <c:layout>
                <c:manualLayout>
                  <c:x val="0.18645776357051985"/>
                  <c:y val="4.8333342394702362E-2"/>
                </c:manualLayout>
              </c:layout>
              <c:showLegendKey val="0"/>
              <c:showVal val="0"/>
              <c:showCatName val="1"/>
              <c:showSerName val="0"/>
              <c:showPercent val="1"/>
              <c:showBubbleSize val="0"/>
              <c:extLst>
                <c:ext xmlns:c15="http://schemas.microsoft.com/office/drawing/2012/chart" uri="{CE6537A1-D6FC-4f65-9D91-7224C49458BB}">
                  <c15:layout>
                    <c:manualLayout>
                      <c:w val="0.24625044156147141"/>
                      <c:h val="0.30082224276614916"/>
                    </c:manualLayout>
                  </c15:layout>
                </c:ext>
                <c:ext xmlns:c16="http://schemas.microsoft.com/office/drawing/2014/chart" uri="{C3380CC4-5D6E-409C-BE32-E72D297353CC}">
                  <c16:uniqueId val="{00000001-9E4A-418F-BFB4-B9F20A9C6764}"/>
                </c:ext>
              </c:extLst>
            </c:dLbl>
            <c:dLbl>
              <c:idx val="1"/>
              <c:layout>
                <c:manualLayout>
                  <c:x val="-0.11893583724569642"/>
                  <c:y val="0.186428606379566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4A-418F-BFB4-B9F20A9C6764}"/>
                </c:ext>
              </c:extLst>
            </c:dLbl>
            <c:dLbl>
              <c:idx val="2"/>
              <c:layout>
                <c:manualLayout>
                  <c:x val="-0.21647351676613033"/>
                  <c:y val="-9.66668602174249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E4A-418F-BFB4-B9F20A9C6764}"/>
                </c:ext>
              </c:extLst>
            </c:dLbl>
            <c:dLbl>
              <c:idx val="3"/>
              <c:layout>
                <c:manualLayout>
                  <c:x val="0.13268998793727382"/>
                  <c:y val="-0.21247523388812795"/>
                </c:manualLayout>
              </c:layout>
              <c:showLegendKey val="0"/>
              <c:showVal val="0"/>
              <c:showCatName val="1"/>
              <c:showSerName val="0"/>
              <c:showPercent val="1"/>
              <c:showBubbleSize val="0"/>
              <c:extLst>
                <c:ext xmlns:c15="http://schemas.microsoft.com/office/drawing/2012/chart" uri="{CE6537A1-D6FC-4f65-9D91-7224C49458BB}">
                  <c15:layout>
                    <c:manualLayout>
                      <c:w val="0.30448098231883325"/>
                      <c:h val="0.30082224276614916"/>
                    </c:manualLayout>
                  </c15:layout>
                </c:ext>
                <c:ext xmlns:c16="http://schemas.microsoft.com/office/drawing/2014/chart" uri="{C3380CC4-5D6E-409C-BE32-E72D297353CC}">
                  <c16:uniqueId val="{00000007-9E4A-418F-BFB4-B9F20A9C67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Pivots!$I$60:$I$64</c:f>
              <c:strCache>
                <c:ptCount val="4"/>
                <c:pt idx="0">
                  <c:v>Female</c:v>
                </c:pt>
                <c:pt idx="1">
                  <c:v>Male</c:v>
                </c:pt>
                <c:pt idx="2">
                  <c:v>Other</c:v>
                </c:pt>
                <c:pt idx="3">
                  <c:v>Unknown</c:v>
                </c:pt>
              </c:strCache>
            </c:strRef>
          </c:cat>
          <c:val>
            <c:numRef>
              <c:f>Pivots!$J$60:$J$64</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E4A-418F-BFB4-B9F20A9C6764}"/>
            </c:ext>
          </c:extLst>
        </c:ser>
        <c:dLbls>
          <c:showLegendKey val="0"/>
          <c:showVal val="0"/>
          <c:showCatName val="0"/>
          <c:showSerName val="0"/>
          <c:showPercent val="0"/>
          <c:showBubbleSize val="0"/>
          <c:showLeaderLines val="0"/>
        </c:dLbls>
        <c:firstSliceAng val="0"/>
        <c:holeSize val="5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Calif).xlsx]Pivots!pvtDuration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long we take to ship?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Pivots!$B$149</c:f>
              <c:strCache>
                <c:ptCount val="1"/>
                <c:pt idx="0">
                  <c:v>Total</c:v>
                </c:pt>
              </c:strCache>
            </c:strRef>
          </c:tx>
          <c:spPr>
            <a:solidFill>
              <a:schemeClr val="accent1">
                <a:lumMod val="50000"/>
              </a:schemeClr>
            </a:solidFill>
            <a:ln>
              <a:noFill/>
            </a:ln>
            <a:effectLst/>
          </c:spPr>
          <c:invertIfNegative val="0"/>
          <c:cat>
            <c:strRef>
              <c:f>Pivots!$A$150:$A$165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Pivots!$B$150:$B$165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E56-4BED-A43E-24D4C2F341BE}"/>
            </c:ext>
          </c:extLst>
        </c:ser>
        <c:dLbls>
          <c:showLegendKey val="0"/>
          <c:showVal val="0"/>
          <c:showCatName val="0"/>
          <c:showSerName val="0"/>
          <c:showPercent val="0"/>
          <c:showBubbleSize val="0"/>
        </c:dLbls>
        <c:gapWidth val="20"/>
        <c:overlap val="-27"/>
        <c:axId val="1756365311"/>
        <c:axId val="1790596703"/>
      </c:barChart>
      <c:catAx>
        <c:axId val="175636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96703"/>
        <c:crosses val="autoZero"/>
        <c:auto val="1"/>
        <c:lblAlgn val="ctr"/>
        <c:lblOffset val="100"/>
        <c:noMultiLvlLbl val="0"/>
      </c:catAx>
      <c:valAx>
        <c:axId val="179059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3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(Viva Calif).xlsx]Pivots!pvtRating</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How</a:t>
            </a:r>
            <a:r>
              <a:rPr lang="en-IN" b="1" baseline="0">
                <a:solidFill>
                  <a:schemeClr val="tx1"/>
                </a:solidFill>
              </a:rPr>
              <a:t> satisfied are our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Pivots!$B$173:$B$174</c:f>
              <c:strCache>
                <c:ptCount val="1"/>
                <c:pt idx="0">
                  <c:v>1</c:v>
                </c:pt>
              </c:strCache>
            </c:strRef>
          </c:tx>
          <c:spPr>
            <a:solidFill>
              <a:schemeClr val="accent1"/>
            </a:solidFill>
            <a:ln>
              <a:noFill/>
            </a:ln>
            <a:effectLst/>
          </c:spPr>
          <c:invertIfNegative val="0"/>
          <c:cat>
            <c:strRef>
              <c:f>Pivots!$A$175:$A$178</c:f>
              <c:strCache>
                <c:ptCount val="3"/>
                <c:pt idx="0">
                  <c:v>Jan</c:v>
                </c:pt>
                <c:pt idx="1">
                  <c:v>Feb</c:v>
                </c:pt>
                <c:pt idx="2">
                  <c:v>Mar</c:v>
                </c:pt>
              </c:strCache>
            </c:strRef>
          </c:cat>
          <c:val>
            <c:numRef>
              <c:f>Pivots!$B$175:$B$178</c:f>
              <c:numCache>
                <c:formatCode>General</c:formatCode>
                <c:ptCount val="3"/>
                <c:pt idx="0">
                  <c:v>7</c:v>
                </c:pt>
                <c:pt idx="1">
                  <c:v>8</c:v>
                </c:pt>
                <c:pt idx="2">
                  <c:v>6</c:v>
                </c:pt>
              </c:numCache>
            </c:numRef>
          </c:val>
          <c:extLst>
            <c:ext xmlns:c16="http://schemas.microsoft.com/office/drawing/2014/chart" uri="{C3380CC4-5D6E-409C-BE32-E72D297353CC}">
              <c16:uniqueId val="{00000000-4F84-4C3D-B34C-DB87008747E5}"/>
            </c:ext>
          </c:extLst>
        </c:ser>
        <c:ser>
          <c:idx val="1"/>
          <c:order val="1"/>
          <c:tx>
            <c:strRef>
              <c:f>Pivots!$C$173:$C$174</c:f>
              <c:strCache>
                <c:ptCount val="1"/>
                <c:pt idx="0">
                  <c:v>2</c:v>
                </c:pt>
              </c:strCache>
            </c:strRef>
          </c:tx>
          <c:spPr>
            <a:solidFill>
              <a:schemeClr val="accent2"/>
            </a:solidFill>
            <a:ln>
              <a:noFill/>
            </a:ln>
            <a:effectLst/>
          </c:spPr>
          <c:invertIfNegative val="0"/>
          <c:cat>
            <c:strRef>
              <c:f>Pivots!$A$175:$A$178</c:f>
              <c:strCache>
                <c:ptCount val="3"/>
                <c:pt idx="0">
                  <c:v>Jan</c:v>
                </c:pt>
                <c:pt idx="1">
                  <c:v>Feb</c:v>
                </c:pt>
                <c:pt idx="2">
                  <c:v>Mar</c:v>
                </c:pt>
              </c:strCache>
            </c:strRef>
          </c:cat>
          <c:val>
            <c:numRef>
              <c:f>Pivots!$C$175:$C$178</c:f>
              <c:numCache>
                <c:formatCode>General</c:formatCode>
                <c:ptCount val="3"/>
                <c:pt idx="0">
                  <c:v>37</c:v>
                </c:pt>
                <c:pt idx="1">
                  <c:v>51</c:v>
                </c:pt>
                <c:pt idx="2">
                  <c:v>39</c:v>
                </c:pt>
              </c:numCache>
            </c:numRef>
          </c:val>
          <c:extLst>
            <c:ext xmlns:c16="http://schemas.microsoft.com/office/drawing/2014/chart" uri="{C3380CC4-5D6E-409C-BE32-E72D297353CC}">
              <c16:uniqueId val="{00000001-4F84-4C3D-B34C-DB87008747E5}"/>
            </c:ext>
          </c:extLst>
        </c:ser>
        <c:ser>
          <c:idx val="2"/>
          <c:order val="2"/>
          <c:tx>
            <c:strRef>
              <c:f>Pivots!$D$173:$D$174</c:f>
              <c:strCache>
                <c:ptCount val="1"/>
                <c:pt idx="0">
                  <c:v>3</c:v>
                </c:pt>
              </c:strCache>
            </c:strRef>
          </c:tx>
          <c:spPr>
            <a:solidFill>
              <a:schemeClr val="accent3"/>
            </a:solidFill>
            <a:ln>
              <a:noFill/>
            </a:ln>
            <a:effectLst/>
          </c:spPr>
          <c:invertIfNegative val="0"/>
          <c:cat>
            <c:strRef>
              <c:f>Pivots!$A$175:$A$178</c:f>
              <c:strCache>
                <c:ptCount val="3"/>
                <c:pt idx="0">
                  <c:v>Jan</c:v>
                </c:pt>
                <c:pt idx="1">
                  <c:v>Feb</c:v>
                </c:pt>
                <c:pt idx="2">
                  <c:v>Mar</c:v>
                </c:pt>
              </c:strCache>
            </c:strRef>
          </c:cat>
          <c:val>
            <c:numRef>
              <c:f>Pivots!$D$175:$D$178</c:f>
              <c:numCache>
                <c:formatCode>General</c:formatCode>
                <c:ptCount val="3"/>
                <c:pt idx="0">
                  <c:v>150</c:v>
                </c:pt>
                <c:pt idx="1">
                  <c:v>182</c:v>
                </c:pt>
                <c:pt idx="2">
                  <c:v>163</c:v>
                </c:pt>
              </c:numCache>
            </c:numRef>
          </c:val>
          <c:extLst>
            <c:ext xmlns:c16="http://schemas.microsoft.com/office/drawing/2014/chart" uri="{C3380CC4-5D6E-409C-BE32-E72D297353CC}">
              <c16:uniqueId val="{00000002-4F84-4C3D-B34C-DB87008747E5}"/>
            </c:ext>
          </c:extLst>
        </c:ser>
        <c:ser>
          <c:idx val="3"/>
          <c:order val="3"/>
          <c:tx>
            <c:strRef>
              <c:f>Pivots!$E$173:$E$174</c:f>
              <c:strCache>
                <c:ptCount val="1"/>
                <c:pt idx="0">
                  <c:v>4</c:v>
                </c:pt>
              </c:strCache>
            </c:strRef>
          </c:tx>
          <c:spPr>
            <a:solidFill>
              <a:schemeClr val="accent4"/>
            </a:solidFill>
            <a:ln>
              <a:noFill/>
            </a:ln>
            <a:effectLst/>
          </c:spPr>
          <c:invertIfNegative val="0"/>
          <c:cat>
            <c:strRef>
              <c:f>Pivots!$A$175:$A$178</c:f>
              <c:strCache>
                <c:ptCount val="3"/>
                <c:pt idx="0">
                  <c:v>Jan</c:v>
                </c:pt>
                <c:pt idx="1">
                  <c:v>Feb</c:v>
                </c:pt>
                <c:pt idx="2">
                  <c:v>Mar</c:v>
                </c:pt>
              </c:strCache>
            </c:strRef>
          </c:cat>
          <c:val>
            <c:numRef>
              <c:f>Pivots!$E$175:$E$178</c:f>
              <c:numCache>
                <c:formatCode>General</c:formatCode>
                <c:ptCount val="3"/>
                <c:pt idx="0">
                  <c:v>312</c:v>
                </c:pt>
                <c:pt idx="1">
                  <c:v>373</c:v>
                </c:pt>
                <c:pt idx="2">
                  <c:v>351</c:v>
                </c:pt>
              </c:numCache>
            </c:numRef>
          </c:val>
          <c:extLst>
            <c:ext xmlns:c16="http://schemas.microsoft.com/office/drawing/2014/chart" uri="{C3380CC4-5D6E-409C-BE32-E72D297353CC}">
              <c16:uniqueId val="{00000001-56E9-47C4-9760-E349215F0F00}"/>
            </c:ext>
          </c:extLst>
        </c:ser>
        <c:ser>
          <c:idx val="4"/>
          <c:order val="4"/>
          <c:tx>
            <c:strRef>
              <c:f>Pivots!$F$173:$F$174</c:f>
              <c:strCache>
                <c:ptCount val="1"/>
                <c:pt idx="0">
                  <c:v>5</c:v>
                </c:pt>
              </c:strCache>
            </c:strRef>
          </c:tx>
          <c:spPr>
            <a:solidFill>
              <a:schemeClr val="accent5"/>
            </a:solidFill>
            <a:ln>
              <a:noFill/>
            </a:ln>
            <a:effectLst/>
          </c:spPr>
          <c:invertIfNegative val="0"/>
          <c:cat>
            <c:strRef>
              <c:f>Pivots!$A$175:$A$178</c:f>
              <c:strCache>
                <c:ptCount val="3"/>
                <c:pt idx="0">
                  <c:v>Jan</c:v>
                </c:pt>
                <c:pt idx="1">
                  <c:v>Feb</c:v>
                </c:pt>
                <c:pt idx="2">
                  <c:v>Mar</c:v>
                </c:pt>
              </c:strCache>
            </c:strRef>
          </c:cat>
          <c:val>
            <c:numRef>
              <c:f>Pivots!$F$175:$F$178</c:f>
              <c:numCache>
                <c:formatCode>General</c:formatCode>
                <c:ptCount val="3"/>
                <c:pt idx="0">
                  <c:v>224</c:v>
                </c:pt>
                <c:pt idx="1">
                  <c:v>247</c:v>
                </c:pt>
                <c:pt idx="2">
                  <c:v>250</c:v>
                </c:pt>
              </c:numCache>
            </c:numRef>
          </c:val>
          <c:extLst>
            <c:ext xmlns:c16="http://schemas.microsoft.com/office/drawing/2014/chart" uri="{C3380CC4-5D6E-409C-BE32-E72D297353CC}">
              <c16:uniqueId val="{00000005-56E9-47C4-9760-E349215F0F00}"/>
            </c:ext>
          </c:extLst>
        </c:ser>
        <c:dLbls>
          <c:showLegendKey val="0"/>
          <c:showVal val="0"/>
          <c:showCatName val="0"/>
          <c:showSerName val="0"/>
          <c:showPercent val="0"/>
          <c:showBubbleSize val="0"/>
        </c:dLbls>
        <c:gapWidth val="219"/>
        <c:overlap val="-27"/>
        <c:axId val="1667713679"/>
        <c:axId val="1667714927"/>
      </c:barChart>
      <c:catAx>
        <c:axId val="1667713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14927"/>
        <c:crosses val="autoZero"/>
        <c:auto val="1"/>
        <c:lblAlgn val="ctr"/>
        <c:lblOffset val="100"/>
        <c:noMultiLvlLbl val="0"/>
      </c:catAx>
      <c:valAx>
        <c:axId val="166771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1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_xlchart.v5.3</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04893B80-F401-4C11-8839-741C2E5439C4}">
          <cx:spPr>
            <a:ln>
              <a:solidFill>
                <a:schemeClr val="tx1"/>
              </a:solidFill>
            </a:ln>
          </cx:spPr>
          <cx:dataId val="0"/>
          <cx:layoutPr>
            <cx:regionLabelLayout val="none"/>
            <cx:geography cultureLanguage="en-US" cultureRegion="IN" attribution="Powered by Bing">
              <cx:geoCache provider="{E9337A44-BEBE-4D9F-B70C-5C5E7DAFC167}">
                <cx:binary>5F1Zc9u4sv4rqTxferCQBHHqzKkakJIs77FjZzIvLMVWCO4LwPXX36btZCxKniNXxQ9XV0lVYksN
NfEBvaPx7/vuX/fJelV96NIkU/+6737/KLUu/vXbb+pertOVOkrD+ypX+Xd9dJ+nv+Xfv4f3698e
qlUbZsFvBGHzt3u5qvS6+/iff8NowTo/y+9XOsyzT/W66q/Xqk60+of3dr71YfWQhpkXKl2F9xr/
/tFdJeH3vMrC1cfN98jvH/9IVun6YfXBzetM9x8/rDMd6v5zX6x//7gxDvn44bfp122x9iEB7nX9
AMSUHTnIdIhjU/74Yh8/JHkWPL9tYEKOCCMms2Hkp2+9AFbexNEjP6uHh2qtFDzZ47/bA2w8BszG
H/99Fu7H2RgBCACL3z/eZqFeP3y40Su9Vh8/hCp/nK6qd/PxUW9vHufmt00I//PvyS9gtia/eYHy
dGr/21ubQP4XkD9XITxB/+tBNtERo4RZzLJfBZmbyMLUxpsov4Gl3ShPB9gD5SnJgaF8k2d5+h47
2TkyKbc5Iww9vuj2TmbYsk3TMTdB3p+j3RhP6PeAeEJxYAif5erDH1mwTtbq1+9lah4hixDqmNbT
XnYmMGPniJiUmgw/rYPJjn4jc7sR3zXIHrDvIjsw7P9IijBbvwPszpHNqWVjy3wFdn7E4GVZbLK7
9+doN9YT+j1gnlAcGMI3q/sKLKBM5++CssUAZ9NBryhqfGTy8Q81H2X8ZHO/jbfdeO8YYw/Md1Ad
GO5nK6XW2a/HHIwzE3a1w8mT2kZbehsd2fC26dhgm780wffnaDfSE/o9UJ5QHBjC3jr5cJGDo/cO
IOMjZpmMEey8srHNI4JMCm7WxM96E1O7cd4eYg+ot4kODO0/0tVDXv16qKlzBMaXjchoZm+60uCG
MUI4RXyX8N6fod0wT+j3wHhCcWAA36yyD2JdZavqIczeQ1mbRxg5FDuUPknuqeDG7IiAW80Z35Tb
b2dsN+CvjLMH8K9QHtgCELV+D1lO+ZGFCRhgr5niBB9ZlmljTCbm2d4M7cZ7k3wPmDcJDgzdm1DF
YZ/Xv16Cm6CsKbYc8iMmCvt3U5CTIxt8MQvZsOVfWmRv4Wk3xlsj7AHzFs2hIb3K9OqDW9XDr8ea
2kecmdhE+Dk0Og2nQPwbVLmDELcnWL+Jq1fQ3h5jH7y3qQ4McUiFrJp1tXqP+JlzhLlNMGHPYVKw
tzc3N7hb4H6DgJ8A/iamduO9PcQecG8THRraOWRxYIPnatzmvzzD5Ryh0euilO2OnMEOxxBxsRiG
vf9Smrtv5OsVzHeNsg/su+gODvmkVu+BOQdvGrYwhEufTPOtTQ5SHWx3m5vWFPN9OXoN7Q36vXDe
oDgwhM/X1T3kZH/9rmZHFNncduzngMqW3oawmoM5ZEF2Rkr352s3zhP6PXCeUBwYzrPkg5dXEFF5
B6idI0a4bZHnCgW+ZY5DXIVzDCLc3hVXeRNru9HeHmIPwLeJDgzzy2oFWc53AJwCngCnY7+W64Ki
FQuiaDaaONj7c7Qb5wn9HiBPKA4M4Yt1s3qXqiPQzzZhDkXP+nkaOoMQCsKgnM2p17U/R7sRntDv
gfCE4sAQnkNR1rsER+0jiKHYloXxk9U9FdoY8tWOBX/wxALbn6PdCE/o90B4QnFgCC+SdfYOacsx
CkqgZIwTcJM3HWjwp7iDGbUmqay9OdkN7Cb5HrhuEhwYrOf5Q37/63UvxD5NjrjFf8TDttBFR5ZJ
QDDjSexzb4Z2o7tJvge6mwQHhu5xnX7Lkwf9DgCDsezY2DS39y3ks2xMERQDP4nsTc/4LSzthnhr
hD1Q3qI5MKBv8mT1LvoXqgAtsKEZe05OgqU8ldLI5I6FpmHO/TnajfKEfg+MJxQHhvAyLdZVuEp+
/VamBPwk4lgmxa8koK0jyFKBDQblCONr4i29hbPdWG+NsAfaWzQHhveYWz+HEwjvEQlhENOCKiIo
BH2liggOaxAHQ4HgBOo3MbUb6+0h9gB7m+jA0F5m/XsAbcOpHAL2NXuOgGx5T2MWi9u240xyFvvy
sxvjDeo94N34/IEhewqlQ+8gs60jyh5rR55E8iiTN/Qy+MVjugrDeZ1N+2tffnYju0G9B7Ibnz80
ZOFc33tklu0jAA3Oyv04mbG1aTkU8oJnRfAU2n0ZegXbDfJ9wN0gODB0QeWMaeRk9ZhSrn/5ccnx
aA2UcL6WdsJHIJMxRC4nYa03srUb6V2D7IH3LrLDQ/3DHPIR96G6z38Izl9zPpZB8Q8DUHfHMaF6
wIQzwpZDYbu/rB6ASf+bo30UyauQ7xhmP9B3EB4g7F64Dt7DBgPvCsORWfCwpiqaQaCEOlD4+2yG
bwO/N0+vg745xJ6AbxIdGNhnq/g9so1gcIEHzRAI9cfXjloRji1sO2xSELYvP7sx3qDeA96Nzx8Y
suerB6j220dIvrG7AVR32gQSEew5zzi1tgk6giJecKrxRHrvz9FudCf0e+A7oTgwhD/XYJC9x+4F
o5siDGfnns7U7PKnCB9NMmuSr9ifo90IT+j3QHhCcWAIn6+gfcU7bGE2FmiDHkbP5T9TbQwGmAWH
cGzGJ6GQvRnaje8m+R7wbhIcGrrrDPKN73OOih9BxJJzxp7D2FtCmkI1J7Mp5RO/+fwtTL2C8tYQ
+yC9RXRoaMNeLvJ3qcx9DGGDPnaejztPwYb4F7dN5kAXk11ZyHGT7cvZK4hPR9gH8CnNgeF9E66r
d7G/oEjERhQyyk9FuLvOtsObCKp4nww0WA0bPvTefO3GevJceyA9oTg0nCEmcVaH6sPlt1AV7+E0
W0cEzs1B6R4ETcbXdHuDwW1D5BvORk4M7jFc8kbWXsH8lYH2Af8V0gNbBefQgeodDLWx4sCC2pIf
gTJQ1tPMBiQnHQ6CfXOX78vPbrw3qPcAeePzB4bsxap4Dy8akIW2YiYkLp429Va1LqSdoUEJAqW+
iey+/OxGdoN6D2Q3Pn9gyMKq1etq/Q7NAeEErM3ssU7otb5x+MiGtnE2nbaAfAtPuxHeGmEPlLdo
Dgzpz3We1Om79BADV9qBjhQmVHg+vnYoZ7DVMHbIVqxkf552I731VHsgvUVzYEhfJav79ft0oAEt
O56gecZ5S17D6Qo2Vo2Rnzmtl1b3/nztxnpCvwfSE4qDw7mGNsPvYHGBq0xtBgfjns9YTC0uMLbB
EIdibjpJRl+BhNmPo9cQ3qDfC+ENigNDeHRexBqa976HXQ21YBbU8kIa4+du3bCr4ayUiQiCmu5J
fuptXO1GescYe6C9g+rAEL8OoT+FCh/eI6VBQU0ji9LnCrEtHxr6SlHoXgFlRBNH6k1M7cZ7e4g9
4N4mOjC0x/V8kq/K+r0yHJDfMAnUkTy+dqhrwqGsjPPdQbK3Mbcb911PuAfyu8gOD3uoJxOr6tv7
VJSZY/3QmL56/aCkzR1qQnP2XQFxQOBt7L2K/45h9lsBOwgPbQ3I1bv0poHer9CvGWqJ6GvNiMgR
FBohB2Kqm5GVm705egXvTfp9gN6kODSEx16B7+GLQXKTEgL9pp6391b6GqIr40mtrZPuN3tz9ArC
m/T7ILxJcWgI61UWqmRVv4cnxqCyG8GJZ/u1GjLwuNHYlp9NihTgspI3cPUK0ttj7IP2NtWBIf55
LVfvcdMGSG04UWfDNQyvqGwoSYH2ceCPjXVJ8JpkNffnazfeE/o9sJ5QHBjOdxC8qt8lfQ1NuSE5
TdFrreOgWAHaOWNko8m2fgNLuzGeDrAHyFOS/wMo/zOLG8883p30xw8baEdh/9vvvYImBrYNVvfj
Ft12suGwDoa7dDCUhj6+fnz30/VX0JTx52VdT7HTXTztxvYl7cYzPj3iP0/K+9xq9fqNVz8vD/NW
ejV7vHbsxaVX//zu4+PDdWkT0ucSjx0T9jN9uHz4/SMkGykcT4cu6j9vNBsH2lEg8gOaTao12Oy/
f4QbzKDGF2GIkTpjHI1ykMbt+vktUMuQtGQU2v2a0GMM4ikZXAAg4V608ToVKPmGGn+4jwNCb8CG
yuvnt2AQyGTDhVoUnHYoHf7xoFd50gd59nNWnn/+kNXpVR5mWv3+Efz4jx+Kp8+N/FrQRhqWGVQ4
UgvCeGN3eHj/fnU9ntGCSfifgcpUkjxEl9RBofDTIZrZ+K88eEBcDJYfisrOzkKnqUXYcnLWFvD7
irBLG2eXdVnMbSe4Tur6L6UGF/VGt1Cx/DOrrEVZsGuaOecFL7VQ7Cu2zUIknZ4NLD7VFlMiUFYj
SFDfFl32OUJZKWqOErcssfZQWHz1o9CDxmynVh/NUlyuBjkIHA1/EtMo3bTTJ9LKZryLmBsP4bGq
y1RE2fAnDthxK+PQNWN91TH5NUqz28HJz3hU/mnaJBWxRb4bbfalrOq7GKdEmLU1r7gxH9hwFfKY
CXiyRcGj2m155jmhtgX1nVgwv13CzXwiNnpHBJm5YKUxr1TjiD517sqWdKLQPVsOdYxF65unEUpy
N2qNY7sNTYHDyj+ujX6Rm92S4Ea0hX3dFvV1r9PqNrH6VVIUsWuXzkkg0ReUWqcOylO3QN15EBeW
aANmzKwoO9aNEbldXZ+aplraPM9F6VsnPX5QWfZX4Ne3vWO1ojdjKQan/StGioukpOcJM9eUFY3L
LXxrD34pWmQ2rmH6c62CQPRtY89Q1x9Hql84TjsrmvCsVjBnQZCYXtsHkV2JONJNdaE7jeXMZ1G+
0FZodac6D3sxmAXSy9xxgplmvPcw0VEkyhxVbEZC029mSlHNV0lTtstIW0R7doy6VHS07U03JXnl
9YkpvUCWpVuY/Dyty3KGcnqfyaoUhm8Sj5qGFITk8L8Wee2g7m2/Nl0el9+hTZ8tej/y+iwdBMN9
IwIrvmZD0Z8yyi4MSRxXkwLGQLbIDfln0plfM6dr3aZrboo6li43itAzS+shKtR30nfrAe4BFA1L
7gLIVAtK6Tlqul7EipxWmRHOolbTmWk1Vx2hgUd5fGzK6qsTW3pODTOZWb7ztdckFoVpR8Jm7YNy
SCuypO1g5WjugZXuuCjiwXkSGBfB16TxsiA4ybroweyUZ6WwXrLAteLh1M6yRZQXnxoayZmMu9vC
DAth58Eikb6AI92VCJD9xS/SZGHBbxzcfgmG8lPoJ25vGuqsVV8zy1LC74381GBsCD0YqhOIxZ5h
S0PYdiIMQyo3qbpG1C0gHsnyuu7zYBlLeTrY2cVQFSddVnyHHqeVm5hNheZlH1f3Ly9B3JBX93nR
V2Egn6+y/Pnjfz7nKfx9vBXx71+ON2H+/dNinY96UU0/NOqVn5/6+2bFUY7/vGZxoh2ertP8IVHf
8uab9Mp44ON1vfJYy72tVh5PifxQKxCaMUe5DWqFPWqBv9UKhZ7hkEm3IWMzFs28UCtwOQh0pqVw
5SY0WWKIgjL6oVagqeHYuYGD1oNL+qCm/U1qZWzHtKlWoBQLWgRAWHnkAgbcVCug2mAfGmi4pKm8
K2mi3aTvM5EVZenhIZ07pb3Abb60egP2Hb9L8z4QqO5yL+X258gxz2mul2kUzcrG8ZXHWJrxWSjb
4jbJOZ7lBH0KjKxa6jYMYP8kkfGNJDnI8gzTRp4yv0k718qQL+yERcdKR+EsraP6E8oK6uW1fdPG
9uA6TX/JrQSLLqNeIYdYlF3+ue+Nu9zKbmlu1QKRIXFR1S5to7+UoXMCzce8Xqr7aqDCirNWBBG6
LiJyxR3jjjQq86SmWPg6Pm+KKnZrP/veV0MkJMFz32SBR6qUzizSXeoKr8ok6jyrobXX5/KhbNPB
08hXLu+cWYB06xa5xPMYqmj8Qhhmv2y73HBlG5ziml3SOHBrDJuyZi7CkrlNKguBSXNaNcUXifhX
w2S5cBL6Kc7VTFvpXRwOg6ii4VZX7bypcXGB/XaWFvl3OGrqNVV4zeuiEQ1Nz4ogXeK0v4tVfWrk
zXdUWb2HjJ65hNJaDGHTgKiItaBJfFwqo3CptF2jB8nsE1S7ViGdS9IXvTv0Zew2uk2EzFtX8yry
8ggsjhSMhpkTx4ObdQV2bcTuZQ+Sj+J+of0ICdVhN3PIktv0uK6rSz+pMpeisD+XZVUWIrPtOgUN
lISxsJJ0SXXlKmWd6y5OBc0JcWXWzE3kf4tpJOKkM0Ddd16UdavAzmMBY7p5Amo+71rRysYWkhor
VAWRWzWaChxTFyu+7uPYOXdgYmcOUvWc1NI+S1p6XERZdSOVb14QneanmARNIBiPvKGqj2XTDa6y
E3OWNMxz0hQvQF/oeQLr/6IOnQUzzKVRqjtkWceoJndto7EbSIU8rQi+oAWJzoosL0TAbTyTFug0
v4kMAZrBdEEN+oseY3RRdJR8CknOjsO4WXCzOO7b4CSNlS+6kqygF7XlxVkfXoJN2YLyN+e9k85r
rVoP92HiWm32rVf5nDThn3lgiJDreBZIwDNK+uTSBK0XdunihVDbYXyOMuBv03OsuTZB2sCtglBG
AOdnMASZX5qeBe2aODE4vkzS29h8sCyvTZdv/go42gFn7BDISEhTg4n/8iv6IuhUFNrmZay+1fFV
X3zO+Nn/Rx31UttYILJfTPOW2/PSg3zyPh9diUeqH24PhnZu4y2hCK4Us6DRJgz40+2BnNPYeRVi
lqAjwMP96faY0BcdjzW8aHR74bYyiGv80E/jOSsYEI7DO5CvgBYlb9FPGL7jxdIDrwd2C4FDtTYU
HtJRSW2uCz3QvCjrurvIWspnTeuDzMxpxGI3Zm3zyTas/iTqmiyeIRTrrzo3G1iiqiuF4ln55cXs
7dgHYwOOKTdwURN074Bu4XAb9ngN8stVamZ9EXNZNxekzPBFEA+ZL2qW29LtGp1z0bRm/ZU1hQHe
WOro0i2jKg6EPyhmulCMlT1wrdEljCFrjyQJvh0sw8GL3rb8Ne4N3M3/mWOy5TWCaoe6Tbg2cLQj
4DTNhOOQScC21xe0s4LAs7shuW2g4Ruda9bnlmj6DkdeyHxHDMzuQ9HHiC7SpuqxVzW5fpCdUtgN
jcLyFHhUjdCpRI1glRUHsyCP5FVc85NUcQm6H45f3ilZnsZJa3WzUBn2eVjJ5r/Jo20YoCwNQVMz
uAcPjtg/PvQLV5j1RtAaRaIuMu3zuzwAYS/MmMDSKLK6u2q7it8UPk7+/OfJ3BSDFoIm8XD5A6Nw
YwCcMiR0ZOvF11qoC8xCBdlF5gz4AseyvshU5YaOL+/++Ztg+2yss/GbOEhBBrc5QnN6Z7LOiszs
h7KS+YVTIHNVtnmVLHzt9ETEhZyhsk4G0Ky9Ay4rtdr0vy2acVH8Le/HB4WFAn2lTLjcBIT+9Ouh
CDiUQZaGF6yMrVUa1dYqTkYerCFVM7sCL7ZHAP2iTcCVFmWcs7VOuFq2vDfPOptWyKVtlMduxLL0
llYFoZ50+n5dGE0BZsmQMtfiuVkdW9QeavHPsze2Bp7yz0axAalwuJIePKlNoJBdW+A4+cY5rv10
FVbgMQsMxk9mCgrGbXDSyjD+Fji8OOuGUs5tcPNDF/x89l2zYcjdXgbMNfOoWYcVZQ8NWEfs5J+Z
NK0tkKlJYRGN6Xow6CGws8mlXTkhqsAAPY/MsvC542kuh0WnO8rnuqlrt+pK9KlJezBtpQSDscLZ
QpGqWCRmQdw4KdPrIgGPU7CkDb60UZove6W1KKyyuLVV7Hh+mflunUdRKEJNo1b4kcou2sJQl6Ux
0FkQYB4JY/Cz1CWNTI8tWyfXJAqugj6jnUhqVl5ov/ysSWpQz24ITGTYE5ANZg22KWqd6CyRlvPV
R7V5Im0Hnw1B13C3RdJMwVzrw6XhVH0q2t4ZPNxahjdE3X2hSn1TI4NJ0aaazX1V1kvTJ+RzKXEb
L3xm4FAMMva/gZdUNSLMSuOvOmWpVxSKLOM8K5a45MlD2BQ27Huaxjch9zsmmtIMTiq/qt0e5mGB
IaB3CbZ6NzPbqpxj3OFmlsAtL4HbtIFTug2R/ixVtPLqgl9K3wiQh3Guj0HVgAmWocgWjmbJn12K
5CmpeHFjUW0tah4ZZK7sdFg5dl7NFOqiYd7ETjA3ug6tiEra7yooCssdiEa1yALSBPNORzlsjrad
9UFTO/Mq96WXaJoeZ/BRAeK8ymGi04aJSEWR4UIoiwmWW90gTJ34LtVGli4qG8w+s+7Rp5Zi0wtV
hRIRwUqCQIZuuVp0lHVndjwMif+pbkudpgLsxz6rHqQvCRm+qtboWCoFr0CU5/ekTyNNK7grrq4L
dKFjncbdCQ/LYdHwWvvLtAohfBGB73aDmEGXUQ+OhVsDBr7oS8Q7gCt1HC/zfdCHOonbcmbHbYDc
KtHYv5Qlsll+HPeslV7fJVyf2UpTWFGtn2PVujXowrltyMi/bGDr2IFbOoUDC47GKp1nSViNoTFQ
Xv6sa0JwXnyI2lsQQkKZCZcG+WnqSl63/rxNWJLOlA9WwdzKghScx8ECiZmR2KzdVFZGIhrVB+pK
hUaazvIgdL4bdcNC5KGc6EVoOrVzYRl+4IN/wzSzInB6VDn0xwr6RFRyVgSSpTNfNUM555XKwnmf
2Gl/jJRKC9cifRK6rLP6ZFGFZWi4owP+xSjSAXtQ0BenEEpLkXGZRMhQMOVZ9iVKUw4+UcV1Moul
tq+HWlM6j4yc4FPZSsUywSSReuGDv5jdgDKmJ1EwkHheF8DBLNdJMMwc3A3cdaK+aM9Tp4elbcBW
qTwf4/qkAiM/8QKfBrXHsgbgDJkC+yQbIjqsk5hy23OAgdSjfSrLJUaheRyELLZdEscl9cI89L2h
9mNLGG1V8KvIb0f3JiyjQaRFNBinyE/MOS78wAJ2OStmuJdDvpQhboNZzE3ZivFzAvOQZ7B8Alq6
XRsag9BdaPxVQSPFHtwa2EfkAg9ZOITCaUyDfu6TltQXdsH73MsgVH1u1RmopECxGAh4CsG+uR9K
nH0dcJLJk7JPk26uWmsIT7EO9GczItbK6vx0DLXB4p3XWcfoTNlDCMzXOEq9hJaxcp3Wn4U4LL8m
bQuWRRREzY2y7PZbUUl63LA28MERthCEMBwfxrGSPOrmWdXgi6ErqPlJaQt/xtqAT7S2AQFDjXvW
zRqSRuFx1RHSLjMWKHIZGozfZagcF2cUlWrBEiXVVdebGqKMZQvYyDYDxnIFQvcUNBi/g/A/rO4U
pGTlwc02Xb7UivvkKqrqOL4mTsbNZWdGbQ2OtR6NT9l3V1Zs2N0sb1P46jwfhkZ0JNXDAsVsfPiR
9RbkE/BVpPjCtDJ4irq0YKpknIPLz+MGtk6RBHH4KasYbPmqBqsggPdAphKdycsSm32VCVpIBHC3
VVefp4YslAhRXXbzDs4V0VnflGQUGrCZXHgiECAdx6OdrLP0zoerXU6cJgwd4UgrhnXRB/aqzSiw
0VVRf011h9RpAGZudJoXWRzdOKAtFipD+KLkQfkVMid2KaQpQ3KSOwGvT32ZB43XV6xswcDt6aIg
MK0uYmV/HyexddXVCuXHJeqb+Etrp4E6Tn0j/d4PfJQhYZlID/wAh85CAqGkeWGn/IuB/HSetkVQ
QhgXxFxftfI6zLU65WkcWZ5FKhKA2IOUjmgk4XdVZDTBLCEZbJPB8ClfmlmOy3UKArk/gSb5sDfa
UWLPIsuAGe2aoZmBkmnLU1zVxHZ9nugGNC1tEJjeZfRXxRv+2ejBTD8ZOASnHrTKeiVSjFmzDFsC
Q3UploNrtoEdLAuApXWNmNvzIW8afd71LLmJGlUKh6ljM+0a63hobQAnRlgNiyKJ8/w8szvzzNDI
zGeyzNLmNOjbQrqOpVL5GSwRBcmnDMQIiE7ViFiqVgneNk4JWqAvb5KgxOGfOB+o04gBLLD+ttDU
4DCY8quZZEYcnBh+0X6TATIaN2HKjpchR/hTpwx/WFR1qcJZONSwSEPIT9CrLk4G6yK1iyQRZdEg
+9zE0uzcHqwbNWtlAai1ThYGohpYCrJDqWSGO9pVXpMQp1oMTgmrPza7gHm93yPl+oWyyy+t1ePP
kaxgrYGm43ew1lN1lfEMg4AlkGKaO6m0W9HVX4lTtw4WcdywW4tkZeu1VqDNc9NPnOa69BWvQLnD
ip4VIQU0wXHou7OQ6jg/Y1Uh6RXpUGIv/S7n8FxdZwTncWUUrZcqH2QGWGO1Pk8SH/iveBzMlXRi
6bUdQsu+NGHf97bNQmH6kp0/WqXPedurJyP/Ke/4Mt7+Mvy+Txz/PLyvcpV/19NA/sZA//ei/WPY
6fVoPyhivX4Zf3lKPY9EP6Ip44U0UPMD/jMay/lsiJT9jKZAzATKBBgcuWIUnFZwB56TyGOhENyQ
AY4A3FUEFb5jfvlHNGWsHLHg2iqIzVBofAL55R8pjw0wIXv+/PPLJPJjEnvDM7JGD9aG2Ay0IIUD
fiN/L13YpugUWESSXqrORO7QNUvI5UGgP6IU8sflPKekFpXuvzAyUE8F5n1FnTPN+9izRqEXdb65
0JU81W2ORIaycyNClXCGovY61Vx0la08yGzlbp7X33qefZVhMANNfB2b0SLr9Qmh5LosikhEZV8L
XhAlKkzOshRsisBgtyrmuZvwVIM48m+HPPpiga0lQGl1rt2ll1ZAL3Frz3iZn7CkXMbWQJdD41du
HUPCsJHdAuIyM+IU381CXtdtYJ1kgb+ApNY3B9KeXA13nUohNUwgB0HBrhG2mWYeLXwXdXntskLe
tbj+K+4a05WxPCZ1nolCsUqkEgxk3ejMDQt6EaflSRKbVLRV9b1sJKQmjFy7Q+JchmlVuG1QXkZW
A+m3VIMMCf3AYynEsWNZBS5HgX+h7Bx5YLMOtijN4btDmviiMdn9EMLkFn4qPxGQUEKqai014udR
niwtboCEIEW/kJlyLhVEe2eMtYBaLU1RBTpw4xQC5FGQSdFE2F6ETRcIuwIBb3Ys+IQCihdDEQWi
DMJEpBkNBPgjuQhTGsxQn0THlHbJzAhDsojkGGkYwG+2O9BrKM9BPfrYw12PwA1VIcTrC39utjSZ
VakmC53TdJbR6Axn5emgo8s4w0vdB4MXps53fwBnKmKpOTNUCLmZGgoGsM/6RVwHyQxF0oGJwP0M
VBxf6MgORNRV9YIT0C5pUEHoAOyy66xlzqIuLDmDmqvoGCHf95omoUJRanxKoOuESAd40rKDDHNo
I3vuBIZ2o76F9H8eFDMDrD0Q33F4YinVLgIiP/dEXdU1ymbScHqR6wLu3VBgu0gbPIySmycFV1QE
EIMX/TBOUUiyv1plRbcZmLZCSZ4d9zWEA0kX5CLxM3xpORLMt2LwQcQzmOPKqI+dFuS2bM0WDPA6
fIjTkAkUMX/WBKlxjHQ0r61k5vsZB78Y/NqUZ5UAZygVjhnVwohax6sgYezaTWR/GnD3Kerqa7tN
45kiEQ7dhCQX4BzrY7Cfvuts+KZxI+e6wLVIeFKdh6ALXdrZXlKV9tLuW//MNlizcPzMvCZGfRfy
XBse0nXnLyTpMBZhXdy3wBUbjBisySgRypHlwgj7z9ho8byTge2ihp9kKbFnbdtjwZt6CddZ9qKA
cAr4gsEszDLjxDDRcUjpbaMi7apAfk7L6IRF2VXLlGsY7FxZf/mMnNa53fzZx8m6tfVZZxqQRakg
Sum0dQs1Diw75lxHIqwgkRTE6IzAt8lCnjaN+b0Ev8HFQ/K/7H3ZcuQ2tu2v3B9gByeQ4OPhlJMy
U6lZemGUVBIADiA4E/z6u1i+tqvkalc4zrkPJ6L90NEOWWJySGDtNfFoTqYVjoH/sFDQPiJfaNh3
1dfOBxeEUXFX5/oCovxqIAI8BR+dWFa03hQCbo955CSedT2Ho/B9ULnVTna2ivzOIanWuIVWU50H
g92Wc/Zi1sOzcrE8UFONsV+0BzFZX+bC85KucEAzdDVLrcHaWMIBV+a2yZh3dugvVhWW3Xjs6PQ4
4C3iMSSm62D2aVhXvtxRQvBf9mYeDkU5RqqvD0NubgExZDTCBpKbdXOG/KPDHGNkaMxB3M94jVfm
QV4bRYwp33susqEiSS3no7T7t9r1d3IgT0AWZCcqK8zb5RV8CKb+et7ipMuUQwwEilzi0vNPPMcq
E9RGaLdTVARGHY61tTUaD6JVE+e2AHckpgtsTVel3TlRJsrXngZbXzoni6mN4TYbhmkf9zSaSwv/
Tr5wKkTUieGjE/416MM+GWu96yuXJ4NfwuBSXDChGdgLhqh09IH35aUKjNgS/K4E5cw9ufWHUsZD
Je5K0UeAx20os84PK71sMzBQkMmg/M1QAOwIMvt7NkgdYh+Dnwdujo5ei6ooI+bJG1O0bfL/BUH9
78NGK93977HRdwmvvyKk9Vf/QEgIG1tAMp6HtidEE/GjPxCS9S9CPcgUoNgRd/nkh4DNDw48E+Lg
b+a83xHS2hRm/b8/Bice+UcA6Rvp+j31Tej6QkEPXzcoDB5knh8BEpBTNc8YZM/aGD1LhfZgNTyU
kuY7b+DyLFxIGtznJ4+0m2zxyAVuGhjwmHnjZO5N0Q7vtamacJ75Lh/HA/etFI6BqwLytjEu+1Ja
V1Ra8WL7Pb7G86tWzpUJ6TZ0hupkuzTNmH/VcSMFDXLxcn7va/lI5j6iWfNOXQq0REOMjbtiqGNu
GNjaubPDXvPQakx4rnnBwnkatIjHwDzN/tiDUwQTSJcNaa0IJox70ojQwBklZTu9BqI/ZkGR9q3z
4rByM/b9XmZe2jvBYXSbU8b5KajnNFhcyN3qNNg5xPrmCBrjEbaXLbesU6B1aBT1ObfyU21YyTgE
cdMtMYSi50B011C7jmzS0VjTDba+xCm9U2sr0EEfXRvYSQW2IuLDgFGWflnpTuG5j3k+7owuiEfS
3XC2bIw8jyu1hJ5qb3WHWTebxZkRfwshEADWu8dQul10dwPh7VXa88mg8sSz5mr0wGsvw75q9Rbz
ZOgz9eHn6oQsdbJkwc5h7o3PfRVSQ217X8rQLadjMfggqXRzaLLii1O7N4HyIi4yvZLiWPv7K2ZX
8cLGXbvIqPONmzyYwZhlD26l71ngJJ4EMGi4SLJidkOemU3kV81R0HJKvamZL6UesrgW3hd/DNqN
auYNVWSI2KwebVvxsJrmVwnfKWbZlplN0ulgWkA60jbf5oHku75u2/zsLssswtz1pLMZW1CRgTXh
7s/djhi1uamhFoUGVTcFUM1eAghGXVNgCyst5ziTZYxHbeUwfMIuGYADijNnyW+QVNoUttmFpGfb
XFrdyjXRBKe08qjY1C05gKFWfpP01MyjwZ/cLRhXqISevhWublY5Yw4zsJ0pqEwVQccFHca6e9r2
ZlJ4w7pxwQtBtYIk8DGRDFy0Yd8ZdvZWUyem2j0vNkndtjg1XTHFxTRGbpm9i8U90rx/NCb83rEd
ehg9NNipBpZA4FRgjaq+2HX1MA29iNXY9WEGb0O0cLeIc+W+MszmoQmmEai+GeLODU6iXb0gMPEF
xoBd3x2qaBx5E2OkeGcqeJHavodB4h2fn4d9DdZAa6fE0AAzFK8cFROZ81AVsOGOytqqso0dKs6Q
VPa0mh7cWX8MvrnPA7p3ay7S2RgSeOwexGInQVU2J51NTVqNJdySg+Ed6zK7lQr4kQVFl9grPBlc
uGImSz5N+YKr3FRfjZrWoTlPbexDrkvzYt5lRrnJzUBEwTI+LzVvwrKfz8L0X2FweZ1dbPXtXOG5
9b2t440Ev1luGW2xxTd2ShXQfuPYm6y2n/oG2BTLVNR0AAtsAE/tiSfNHPxxw30TWQMWG+oRxIFX
Y2jjzvZ0NGdmDM3p0WHNGOmgwx8YTPh7WeQMhh25fQsvUqvu+ORUsZlrncwe7vucZU9OCeSRqczH
8+WkTWE0YRBM+IqKQmOaxNeynWiHj+d8VKY9b8aMBeFA2lAUAn6gqtkJsXj4bONe0e48V6IFVB9C
Wjm7iZsn3o+gWs19P9ElhJslCIWhAa7M+arg5u3E+gOR/A5MrYm5yYtlm49A3RNkr9m4EgMYH6mL
+5a7BKOS8uPSV+Vwy3kh03YCmo2MOnMhP/VmZOQj37m9SHk5uhiTqbExFxhctVQilJg+03mw912h
L6rqwOtbc3mBti6i/2ARwIC1BfbvsMh/lfCYfv3yGYf89mt/4BDUYayvhaeBh15vB7jhTxwCy6YP
C4vpAB06lo0f/W73RzUSXoeHWgUXuS1YZvCj73AIXrGG9nfUksKeadv/BIiAlgXQ+AGIrKQPYA0i
ZAh+Iz30IxChM2uCgfLhnAss27QM3GMr5wOVZRORoX3w8C1u8r7Yytovl3ded41xGbAR62YREWSg
8hJwJcMeD1nP3H29PnVN2WHhX59Ev7CMjVifTrAkKSvwvEIkNCOm8AyDxsXjHIyNTKtvD7lm6jng
ug4N9MyEPpSaPAJz4+7H2Vj2RMmZZ5GmWuyHsoi1nRnb3mg/WCAXWEfM1ftWQ8S2igBjIRsfFEIY
B1t4xZE6EhqtgJ3b4SqhlTZTZVFsX62BgWhc3X4OmKiyFHZof9sKreBQ+G2fNMyKSG/3KZnViRK+
+iDrIB3LZYb3vIf0w+W0xTfzZHVdEPWyeW4ndqWtKeGmju3OPpouO0xLjxU9V4hNgLIOc0qjaeiG
ROIOhywzepARPfvIptp70Us+ZmlDgAihXUNW5J21DdrhhhfOLUUwYtgp+LL7iwD7sYX6HMmGe9uG
6E7eemBw2pAPmT+Gjg8azbGmMQ9JRj4wpU07oethM8iiiJdKXuu8OyGHsZclPzWmfaA9EGE37Y3K
i+sFlHCDLSxfIiLU10naN6IPnv+zeGDxgCyHr9K/H2T+KIv+vHz89ot/LB/2v1CB5iBxDxYVrYb4
m3+MMS5s3fjiIpmBxQKViH8sHyB6Ee+Fpw19TKhjwmrx5/JB/4WyY8SCYfbBqvIPSF7i/WgsWe2a
ZKV3Yd2GsxyFEZ+MJX7ZM1rZzDhbRhkBA1mR6S7v2QQ4UZDSCwfHTImVp61miB4gwNPeBG1lXGx/
NEAG+rX0bxgLKhoG0EnjobPax4wKX7/BrNZj3sgqZDq0u8mbvg47G6MF60AgAkghaEPBB8/YquFk
EdA8lRGkrWU/SVWYb6wpq6ixZ5XW3C9jALQ+HBmcvEikzInjNy7IDrt9AT9sIXBU0njhI9lP0t/n
eQum1Wl3hIO37QZjM9jDazXb2K1hlQK7Je2wXE2/hj4ifRWElU8SHrjjiUpz1ThzlgRIcW5arfm6
E4PxLuY+hE4IV1BQJJTZS2hnrUoWZ4rtfu6u4ZZxsOv35fNIib61rEcBzjPsjOIkGsaBf4JLvgBN
OrZ11GYO+/YkzpNQb50AyKdAh/Bs9FCwyZT4dF42vT+JvfQNEhJHzLtCd2bSkcYpQlhWppDOZo1r
Ru0Qt8U4uw0YawKck4NXjXrh7hu3I2Ex1vNlobm/kR34knk0z7XifBsUBosyA5brEMYPkRoGdDi4
TWRZwBsy1ds24+WK6eDQx5RL4476xpoZ4YsP7K+yW4LDbsY8V2aCB1vuIGqPm6qrxT7zDHoU7gRe
pQ+yY+Hhl+XRaobsYg38GSYgEnLpfWFthfhTV9oJTE/PBZT3JOvVhxnAntEb7KrMOMjMXJ9Ls6gj
rqsPDjjbOKw/68rVUeW7sF61tIgCCfUaU/iuHRt/bxOYzsdc34KUwm2qqo3L8T9BSyNrJgMNXT3Z
wHSDmvABentYE3HjZLtHuLeMvXb8yKqd0rkmpAPn35qaYbqZiRPZsEDEKi/7K7DOZjzgQTuP9eSl
LVb6g+fWdWzU9aZuYXXL6TJsHF6+rC7x3oTjHUm6bj/NlROWI7NS4mb0VEApMargq40Qj5dXl3oY
7jPDOXbKh7xiG+qkwZ7uQFzlIauXrUHgtq/gjL8z8wzeAvreG/NBlP5BuP6V5nWQ+HDbNbNOvHpJ
cc5nquUVqaqXZTQOxBJXFacsEgPJjpKqLgZ3DH8DZ7cQ/9mu4eUOaHZbNLhJFFY2Na3UHXjn0C7o
F4bkUNh74jyP8HfOEtuU0Y8VDKtNZHnlLuhJQlEMXrU0nOrCimr6Af0RS0uVQmVNFaR6EyxnymzE
K+BU5yrf+aN7CKY5miwwlLwnMHrN5T0tzbPtDvfeaIJmh9TjnTOkU/YZXT5UY91gTt/5A40d2HI8
OOEik88HYsBIOI5fuOdsML4myL/BiETodVfIG1rbXwOYrsKqdN4hVN24BtjtqlFHAKHUKNxI4R7D
w4iYodWHrBqjcTERcMyqt0XrOziKK0QH8h30k+ulns/VGh/M2arObqHXRFhIi6gk5qWS80k3OrIX
vZPZEMPXFvLF2CBDuMWbdSP4X7ZeN6cG9F6sROLNo6AwwSkYQxAV3E+0qs9SmZiizXpj9SBS8oFd
230Zi5FtZ5PGVW1cjaOGmUh8aQYbZtw5go/lA/HSKGstKGtmlPXle1u+19lwM/cYwam51QjIiUk+
kcaPO6AlVD4iottGMNSdgX7hFfJSF8MeYfONOwd3Zb7YcVCWXVhP5qZCMCyAwSBcaVewcykN4H9o
xAkrXKqbMoL8HHt0DpAD5TvEPbbz0j6ZVr9fCL31PPUEHHTDRn0Zqq9wSL83psmjcrZC+EhT4am0
y3RcMHfFXRFz+AUOqmM9Ojd2Vn1YRg962YSV0A+VaW6NYNzSzkhNDn8Cqa9gpblv8Un9DNOkR1SS
GeOhM4cUX8VTF9DUcrq9k2kcsEmYwgWbZRfXTQYax7XfpqF+wp9y0zmD3tS5IPERkcPYO0VaTl86
2SGzYhzKvt4thp/UGo7EsS1SbmCT4CprIuBeZE88f2P342M1yJe+geFN+Tu4xBPF3Syq+3YrKdkh
HFkjihtsrHx8mlrzsW7zG/Bhm8ydU5ENuHZBwqDN+D3B0+lvRjJeZF0eFBik0RhuS+Fv6ZydwcDs
pFvtx8w68hp2GDmIFF6Ra5WZO3zBQjXRS94GV441PyuvhL8FER683+Y+a71L13Zn2ZGbYWYmnE7d
7YDAxqggYrYYhyUpr0rC9gi2mOFUsmO7LlRLDb2lP9iIAysYPAaEmXJnirppBT3ykCl53yq9t2wE
EW2Xn40MMR0GQ+Ft18F9AYPjvjXNcJkQzoTYaRj5V6hC93lf+Tt76kUY+P2zS7CprxxMDSeYsL56
FYSdvnkqWr4DajtjvRWJ2RbIm3UH2LbwvSxh9F9M65mTTqWBU9xVbQ/jx1xsCse6zguQmEWAaFE9
OalN/W0Gq9pkGxU8IzWElzby2cQiS9txUeYJ4fJ6Zt4mz2ZkIvVXZUAL7PIvfUtChf0P34AOLsrR
T4aBJS03ZGQAIRQ9XIPQHuIZIt9o0K/jSNJOmBs2+qkw5wSxH6w/XT6HbF7SuZIH3bND25O7mkCj
asF+SThtelFEBp+MvbRdPOslvqeId1n1rjT642JMz12r3gbaJizHwJKV8xFEVBtVJra/7yDtT4wA
GFO/Gy5/Q4gYbMFvw1Sw9sX9OFz2UKxblNgZZ7PairwI6+LG4MUvbNg/TrC/H8RDqsmB+dmxP3kN
YK00PeJaxnmmr+20mYbnuf5gTlyN/BdH+hngdaw/j7R+ku+M+XVWa2vJcCSbnri7qo5Wsiy72nvI
hxdRe7/RKvCu/NxG8dOrh2/T2sW3tiB/OjGb1gPNyppdj8ZLPxwa9ibLt7+/QT87I6BlgGUcZnXh
/3hGmefPZqAVv4YHIZ82mOuTkiODxzYC8US7P/394X5yRgjyYGhBwAv5K+/TxDBKr7O12YtrtA2E
wkG+n21U8Ytz+jGK8u15+OEg68+/u0sdZmniZThI3sJF0V7lAY//e6exnuZ3Rxj7pQcBjiO06uhN
Kirqu8wXvzjIGh74k5j562l8ujWq0IUaq05cz4YTchIF4toVsL35z0REXne2h+4XR/zZ3UFxq4nX
4XgBuqPgN/r+tApBKyEh7l/7zaUxGWyYOz/7+OeXDk2iCAsh2YJA16dLlxHH8OjY5tey4wk4Bl/W
0VTe//1BfnbpUGGH1KJjOT6MTT+eSD1x3xdiznF/nqV3xTEpgigNg+w2R0HCiI6D7PL3R1yfqc83
6/sjfrpZcGUErbJ0fm0iTTp2jw4A1N8f4S9hE5cSy3ctsjamIxC3jvvf352udmESmq3qOr9CyHmH
zfNYRyQhF35DIpmIlEZG+vfH/NkD8f1ZfTokHyFS9mrMr0evw5gsQhs8vF1v//4oP792Li4Jdk7i
kU93y1ssz+8rM7/OmgDhmAOl/S+u3Xr1P98dFzkdpA7X93p9frBVZwtLd0Z+7WP01dQG2nwRLkSP
PP/Fufzsin1/pE8LHCbiugXTml9b5J3TC8lum+UXy9vPD0GQSFv9fXAB/vgcCKsYqbuw4lrKM4GI
NK+M5eD9Yqv72VcID9sfR/l064t25HBT4SiieCuNbeYYSeumpIBvt782ik1JfnGP/nJatokIlelC
eEfy1/0siNtB5qvKr8vrftw07Qucd81y8w8ftE+H+ER1y5HhgvKmvJ4WiZwWi3VOfnHZ/vIsfzvE
twJNAB7wbD/enHyeK6PEpHXdlW/GskPJyy8O8JdHGQegLlyagDTUt7+Fvb7berB0+tDmluoaOK8a
SMTzncgBTIP3b9fqf9qg+7/PXrKuq/+elV3favtXQnb9ne8IWYTH0U1kIcz8W2PGH4QsejYCwBr4
RuDpwH/xByGL+iYCvtVEsxJ++KOeQ/EGKrxOElFM4CFzDUb/A1IWCegf1joEmX28HQUVUfCXmIjB
rgWP328TARhCx2wkORdjyQ4Gq5rsdp4L6ASeLYrN5MJIqn13DT2RGMbMcue2ZILUY5At+KR6V2m7
Ok6TGYDLK6kJBRHqpYtoUuhU8JRAgA6nHJpnweTeCHJy9NfWoLk0U6Qa4K3FWBYs9J3A9I/U78Ti
LHOXKvI4O8h5OuSyTA2K3VjY+XDTj93OHmfvpcTME3Y5D5LJyjclohKLozaTzW4aOABi09MLlN98
jGTVbnvEYgM0MPjZcBEOPS8N3WFvuRXQP426ezIYVQcwkoeGBzsIqWJnBdMT6OqIGvy2ssk9klhz
6NCAI8/rqFurY89ARjuHqiQ3s2cnQHEnR2UHciQZ5rIR4Q8u8JkRtED+Z4zaVq1hueDQOBCEitY+
FF15akpwLeB0jk3lfkHk8twv8qPHhQ6Dvo6WesLuk6l95Rd+VCH5RxDGNMEyorUFvOgiMa7a+b2v
HKS3fL1fMuOJtvyiJwz/vM93A8Ps2PjdkgRgDWoq0S5lZR6Qe721p+a50GxT1AZggdMuKdNQ2Zni
bx1i1pFWFoklOjQ8Q+xL+EY2FZJPUqE8aeoRPoFD7UFl3E2c9mPwtLn1Ci9IMtbA+0gQ1/KtDzCQ
ILcCxBzLoUHVhwCb4Dd3tKXGlRGU24K0lxLBlmBEkNIdERruFfK3TBbhbDL9ouWyp8z96pPOSfIx
D8CULs8uioMIc19mc7k01LgbW+t5UhkMBD3/gIVXp/VUBInq8lPl623RgSBqXauL8mF6n2kAsdAi
LOKKpbk9vGmOPd4hTuqPxRuiP/h53qo2hQrYvcKqZF/NhICdrkBbbHq8pxfyAIHGgPP3tpW2ZgkX
hwCTNsLH44f9N+a6wmoQAzeDz25WartYrzhCYwXEvB49GlDgg290eLYy4zBU8K0GWb7gy3DRK39e
GHS6qJVTnyd77zi5E7mg252Vd19WBj5nzIExBKy8g6ctbL9R9YWlzcRd+fvqG5PfgB+nK7vvrzx/
LUQfatS+hOY4plNfvVGTnZsRvmAsUkdngHQH8feiOxTMdGV+ajy4AmzrcVo1hhYxmWcJQz4cGQig
gOGJrVWToD0eyNZzikSC7BxdKCfzqmE48PfCeQpdo7Jhk/RXrcOaUFFQuW4CL3IQ+hBECggjxaqQ
DKtWMpSeGdqie20ho1iOsiGdtjvpDU6ISX5voO1ub63qS/1Nh6GyfbFXbYZIFI1Bv/VCVzR9KFcN
Z7W6pwjjV9HSL+ZbA6kHUcYsDWBrTaZVB5LLjFWpKMmmrla9CImBzVg0dWitGpLIvApdZNmhCfgG
gbuTwDcqmuDXyoP2wiectWmQ1GJobEF8S1RZn9QBCMF8aY+OE9Bo5vBuORS2sh79P6qDly3nOq1k
deFEuHGb+wEoa1S0sQFhU2VuBCmezbHdDEZ3uxRoxinLtoItu02Q9jl2Q8tSPVQ8Ej48fkptvaED
cYGcLoEZIFZGiS9sUYb2kc7VHXif8irg47XEFQ1rVwRJVcOWwhpzS2BT0p5MJ1cdhoy+zwhzhig/
2vfFNCfMmjdQ/2//gxC+6bYmsO6/RwhJ+X/iuv3ytf4rTFh/8XeYgCpWWDQCWExRrYAQzve6rYUX
DK/qLKgqbPprp8nvto8Ar3+HoIqXxCNB+Fm3hTCMZYZYdMUWpvdPYAIA42eYQPF3MCHDfoqpEn/3
R5jQsGwmhjV2Z2TuHiapV/doExt46TU2sK69RlafbWXl1U/EVT0Kgkrwir7hw+aEgExnjHK/MARr
UE3SRmbmPhZd4eMrQHWkMImliwscUK2pWgLBMerdocbSGYxweXXTVZ4vt0gjozlvpnzvKf8+6OSO
cS5Tb2nL0Cf1HgwJ27aOj37F+TGbvDVlom7bmusQW1iwtUzwYe54NzvmAUGLUw0JB3xSZsFyl1up
JnDVqslAJZPY6AZ2wnoJDrkun7Pe3vee6pB2Hm7NkZUpa5AkhzhlhkifvHptAVtJPytY2IhOYUp9
92rvHRU0eYz8BYx8zXgMZudJ2rXcq6Gs4bOgX9BrcEGTVb3Dx3wLZHXGdhhSZ/TBxXp1/TDnmiXo
09oUVlZviPK+wE6fshq28wwdewup3r3SSmZ42Ky6VBs0Gn7FvHozeQXbwmpHw2okQAjTssS5MLxk
MOYz9AUnFMx+EBk9jk6GfhLbqpEfgWNPKshtucSsNk47x+tfkOUFp+303WaAcW1Z3AltkvqBlkh7
XM8dTCuqnxeEBagLzh9dTx/LwAlqAcc86XLUKdYzIgnuUs6bSoA1b0Qe7FSjIbQU9j2M8yJUSOhv
bYqSSVY4z4sJraWCvW64G7ySnfpeqv1iVi2SmUaxVaROJjSlWTUKYhwYhUMpdBcWpngQE1HIgEBu
dYw+jx0GuUR5CrVoNTYkw6ivGRTM0OvYxvbMO7Q4rKi0/ToM8xaRx707SFxiXcVZPj8qIr766C7L
DFDQ0mrA/7R9hf1q+OJWnY5y13k27PLFUA4JURa60YFbh4rnW9tkt41fd/E8QOOzHRk2C021LGKU
jKJjrrjyMh/tH+jhQevIbQW4h35PCmMy9SAiacQpCmBidHO+WZ7xRGAz1Xy+KXl/pUfjjhj8pS/L
d94WQdgMxqGZ25PpZPezzA96qnC3MvuBVY6MeJvdoXXi0Oe4QspmbuooH2EJGpzA8j9n/nTvmRYM
h6xED6gBaRUtA69wStxMbX5iKwDKYPCl/nieLPfG0TiXKhOXtrN2sK9FLkXFqJogQE0HZRBoLv0D
xZTAJEFUjKDmbtk62LyUKRrUXOonSOF0kzMD5akC+Qcsc6gkawxE7TTyLBmaE6JRtE9tV+2dYDwW
jr3j5vIwSGSvRkSTYbCcdqoFl4kHFik0o7xBVOsVBRvIdRRlGy4ehRSWOwnCFxTaPrrq0KBRpciy
bhfXhhNZVTny7SqaOyulNrJo64qLVcqqk8Idr+vBRJsszGbpAM2QmRoteGazNXEJsCZdHO0d8yF4
g2UXz5bv3dseOgbdJoeFFNGiEax4XK9LXMuXeGTmrR3ItPQ5GDDVVWGHXGAA9LitRtTBlf0Aybf3
Ig/P27CwW8t0X/0K8RFm0yNcb9mGMcNI8668QVtgi0wc9G1t+682ag8SS5YwFngq0Q4KCioB3QYr
aVogvtL2C2jLZskj0Vp3UowyHCxfvClunDxErBO4tW4mIR7RVHduA76tCP1Y5npKeplNkBZN5PQa
eBpER4wgROa6eqwQgGTHxWYacvxYJyCCDoS2d4GGR7atfDtEOc1LvQBiKHd04O1bnrIRzRv+2L16
Pcp2l6EFG12eOLPODsle5m74sIYBBhXZ7kuYjSHDlsnQk8tQLMchQPuEZ7Y1zr9JaDlfmQZcNu0g
zZBMmRkieX3nzAhtZeYeJQcPOVquwgIpDHya5Sko5mPX6IeKAENP+TWeB1yEebivCjQhEG6G/Zow
HE25GXz0Es9BfysdfbK8bo+ylINrzvcSno3MJdce62IVuDKk+D+zy/3YLz10rhIXm5wHKk3kgIXS
tHvYdr0YFputbOS2zXt0xwIno+4WxTeeA7uMBQejZ2XlxoMNYVmouTMKFBvkHo9bUSPMgYLXHbJj
AhJ4PiS1o2RSmK0IYcezoOCJFOHX/Dd+6D+8jQkq7d+jsv8qlZA/YW7W3/oOkkFJc/CmBBs92nDc
fmelg2EOZBr+gXIUYCj8E5JRvNQQ/8DqRihFpNn+3kqH9YT6PpBcEMCn+88a6P7S04TmbxtdYw7K
i/A5ETX6EZIxMHt57tDybFjNMxM9iiSG8tXSZFdalQxzlJN27ZD4pMLA56eLw64C3ZwmWiFpuPrS
K4HC64EZUesPdsqImaIk+XYSo51QH4njkekrs89iz0B9pLD6B0ERNiyt8ooT2C9Go92WRfel8maG
Ncb9mmHQiJRRYRdAmfNMx68FUkoRLWBrhac58fSI/RJTfWIOmFVgyJpjdBb0kT8EQ+TCLRL1tdSp
rPW1rWEOgNPuMMAKFaK14MlBA1WMMomvtentwXWruMGgGbKxK6A/okiVry4CP7heAutxzBZkdCkG
bs6NKSz9Hv/q5SJaGKbKqmIoOs6QsOlT7ddZ2KDOIbSn+WHh7IiozUFl6sBxTmGtQV1Vto0ls8Cq
zqqkkPYxs+y7TJc9XL1DFYJeQ/1ch0STwtwOe4ezrRwtooyqR0paA52kGiNeRMZGsFv4a9SL2UwP
egVUPZCVWiFWuYKtHEz2jOiOAAqrVjjmDgTT+QSH87CCNQ7UxoHenAah30FMZwPCWVIUwxLbZGHJ
ssI+hiJy0FrDjQNESEqAR/S1RBZaWA6196Wfv6CqJnWBJzvt1JuhRWB66GArgEGtfggsLm9Ls1TF
u2DL12nmN4tjwmw8qNoHccUp/b/snddy3Na6dV/lvABcCAsLwOXfOTejSOoGRcoUcs54+jMWte0t
yfbe5XP7+84uFUOz0SvMb84xX8m8Xnye773e5vpubM3iata+dxXYFA6T56P54FMeiHJAvY4XeqhH
y1B408WKZw6EUZENzAOcpyEfVk6UhWdrLN6hX5g7vQi8CjXBBdT+z+3z4/apoKd/vc6dXpvmPf/j
1VN91XfrHFY2nVvnRx2Aul/+rlAbv5A14DoK/MH6tpj9xobgUko8QercCA0b7CAX1t8SB3QPMGbi
OyJTcw6EKPE3FGpmSD9fPW0qqIRN7I1pj4AB+eM6R2hv1MpCDtdpsBpnHfY+PPhOoeEx+oTQa/xj
OycBEB/MeMknEs1Y9Ckli9p9OUc6qWk5J6fmI6QWj2Y7cycq84JTfY4d+ssoB4c7TFn787oNagS2
YKx3ozQC76unZ0ZLqq9p6k0bOcJf+dM8e6u0xIeJy07ztXldSQy6XP6SgWP9XBiCc08XjMYar3M9
r4VjkGj2XcJYLVT/bacnnITJdQn7MTW462043+0j02BhyqVod7AIsbJZU0f4zHLHTYCjTAeJF2ft
mo1F38FsV3gaN32L/FyuvGAwNJxfU7/W0louehXe9xj+LvRMixe9XdtvvU0+bJ4za9uCSw4XdhWI
rT2FX+WgQSXI3a/o7AKGJgucU/JvpQabT+u7ejs6xXAMA+6/rpL0ggibc9pWwSKttfxNd5wEjbAF
/pKBicC/qumknwzwaFOk79xaoIL7Q/5quCkZybkIDiWcsxsxESnDi+eRLczfE2e2t5hgA4xrvdg2
RYvhquG+nwROvBZ2l94kekfICoZUVvas4FU14KjmHhi41nvYaMXOrhMeC4VbyAJRresiAGEgtTfC
b8FOzmm3RNt1tyFQDGfwAW+YCPROxthhNdScbNPWdLZFkTUHVJB4ZQJ8O/M7U1xQyOKgQn4ROfcV
ExsER2eYbj3Pt7eDV4BjUtfeQsEOrJok7NBRUpDPNb+maz2neUJgo4JrUddCZ+eFuUA0hqN0ibOg
K6x4a6Syug0QHRZjMLS3ToQePk9GRTZwmpJ9U5jpZoZkt27w/y4wtpXr0XC6RZNxPPbHPNkZaR0u
Kz/Odv8sm99EO9arv142/1+GYFf/cdnU+arflk3Vy+KYKGWMV01kNpat75ZNzoxCckLTf8xpkabQ
IeTrcHWwNH1oeb+tmu4vpsGzo5Pt/qDtOH9n1eR4+vOqSWADOVGNCbFr0RX046pZlPac2JOPYJda
D4Db783GPmaiuU1GIDdDL8IDNswhM8SOuCMR5iTxN34vQauPnb/QK8LizgQPhLz3HTmNmYmJYywG
0cpFMxu3rU5sVnh8r9wpWIXj0th7Ac98iUG2dpj6zXnhLoxiPGuVXrDGxKBnsIVjXbT9ldPywU57
U2NsM1QXPc8eHPaTs9PP+Sk2uU4V0qwIOnEyMVNnKxqlRvD4MxgMA7Ka+UOYk8ZNtaxEwGv2VWlv
fBdXf5MYQCxE9g5B9RP0SQ3Ps70rLO1emylV8avmPCvQ3GwHb9ClqRaxu2lZcwGmDCA2TkZg/dqH
rzW5Bi/YFQV4nKHH81zNHcM6QuzoOGOyMuemXJdT/DrMnI7HFi2pHQ5Giybi6byguvf3Te3eTBpT
gClfa/Opa40D6YbPdiz3hR4LpA/oGp5jn+qgBv4wjkzBkEWK0bgmElkz0Ls1sixvieU0XFqDZu+o
NQSm5J0ZDOLW08Ivo5nfNrkLUi610mVkhMbGrAqiKE5vbCzJDaD0i3adJgDz/WQwWKLdE2vffuoi
VrI6XMVufjcmDSe1uTPWlQUE120mZFMPOimOEvzLVdvfB60OSsPwngKtiBcFgYxKjwmLOg/Cm1/x
R+TbbEoWLadF3FPeqjCxbpZ4qhclOPlB782lbKsD+jLx27raelYWLxPfyPWbUrT5PSABfnCNXEVk
fxb1l0ipo2av3fCAv3pFVNA5wBA5TIznGkm1VtqqBn9mFQ3W+zh0770zTZtGKbFV4/o7QJdvDC11
IE1muEyI9W0iJFzbDJpj5uoH8iQvJSLvrNReuwi3BfJvNaH7NDqD7FZpw0WCKFI3zaWNZz4+/UMY
+G9V6Li73ELgiLXs3qcCaTGa3VOF+JxU5NJd5GicPSm3B0lTBVK1DGwSunp4ANLEroaczfccThVO
a0iDRcHJQ9bLD6okTsFkY3jqzeMQsNSlL5m0iaemiGsiAh3LPh09h8bssJRrYGDCCYktbWjImMem
eA50pcSHYX0TE8MimlSt8BSjeHXZJ1cJCEEbAvJDUmiobeINQmbwleDQKOmhUCJEo+SI4kOYMLu9
rqSKyg33zod4oWSMSgkaLIskiNA4GiV2FKgeoq12MSpIXMwtwR6EkTLVDD5piCVAJ5FNlIDioaS0
wmDYyH+AXrmJmWwWTf9ooL3YdXco0GJohbnvlTgzN9mWcxZCbObPixwFp0fJiSjXgDYR3mSiu02C
4ZOrNB+0H2oUuKYoOShDFwIMfBDoRJzgHloXvb5SEhK0KGvhoSolbJ+OkpmyycWwVo9nv6blIp/S
9TgYa8csD6YSqSbUKoFqFaFeQV++AIu+qWKHqy36lu/bzBFQvNKQS5moXDIOcfa5UbKYrwQyuoIe
ilAc1Sl23ac8NdDBp+ST1cX2Dm4HeATMtuY6LEaOHlHxzaX5j8JjMqP66y38DEzqvX6f/riJq6/7
bhPH34IxDqOfmqDhz/puE8cNg51RSqgrHxec38ZuElSMR+UEw7qPgPZvW7j9C206Hjs8lWgSL9zf
ykvi9Pl5C/ewo7IFuZZyENHW8+MWnpWpwEDuyktmzf2mZGq2KnTnxaEZq3C6J7OVj8l8y7hla1bG
2qzc264NHv10TsBOOtayJNNQ5dNZntDdv1hD8pghpK8Mq463IFFRZpmN4LjZI4zv9CCnKKYrSGDW
uEcgDSwZPn3W8r58M9o8or8sHdaxiPzNzKRjiLA/+EF9yGGWL2IrfMoIxeST9zITnElLtwbpUr1O
cULc23qtpfE89pPaAcZz24OangC4rsoqPnYdaUQ7K/qnSXc/EyqPjjkulbUxYCPRy/gx6dLP+uTM
e5GRfuKoT4ARSb8yP/dNdgFEtpykcw+pJOGaVHlFvbDj4bELoxc30th3iqem1oIDn+aV11AQlvcX
g0kahtDLOEUXgOFkmWoQYlH4a1G2VygcFSvccPHYV9jnzL1AiMZXQNB8aZr3AZAZwmVt8lKZgCz4
Fbd01zFIMPpVKnAAtGyqyyQ2ib0If1HYTbPrJVBhf7CIeGgnmRXDrmidHjBVtx6K+K5s5EnqROgE
Me1ln6a7qkh/rQllrFqzKRchIk0t5xAJqbuZIFnpMdEqHa4JtD3iZREJzDTn56WkouwAh5BTv0F2
iFZwoU8hhPOCOAlIC2/hds6J4Ms1Lb1LVoqVjLnPFFN8GgJEF4G+DUx/0QqFYtPtHjPFxDGMANpS
Dj0mgUSw2ThNs8RNkuFEoG5uisBdt9l847XOK6HGfaAaarqGbBhNPyqSe4sY1CwdOHCysnDZxNWS
wcldbmQxnMF6yyTt0eZqU2VpvUZbcE+VZuxTtziX8fiZIqZPYdO8lZULUWeYQD1LWbBBdfFyqo1s
RZ3cvp/aYtVXyVMX1SWddXgrojC79RthLZN+3HGRLzZ1wBhrnuSwSIq9BSeMIgAyg7TuFGV5FXW4
SaS+tY2U1Bzxu7In8Dql1n08559TIzq2xnAuZpPDY5sf/KY96RjgzKxjjqaXe7d33+Im2HthsJXC
TBfSbR6GRkEENHYsudfz4tDV4r2Qcp/gvdH0/HPepI8yYcaYzsNJWPXR6opz1ydKTATFk/Xb0Y9O
ogP8MQ+70iv2hjLWTmJHDO4QCCKD9WQdy3Q4Do1+A94+3XQzYG0k08HBbNaIeUPVwJXBM6j12TlA
Nrojnn9Mon4nEgZWU5p1QKHMq9Drc1A6hAF7gsK4mYge3zdF8xQATfTH+AzKcRUG012up/oi4UOf
pLQUDNFTkDhbOwDCKCN3P9n5VvaD8qm0ZyuH+kJ5xa0gu0hk/TbTep+TbQVYqd5jsHqGFKPAaGm6
8szubgjtU4c6spgdZrg4V5/hje+cjtHo1K7McdaWHQFfUE2fZ9fbDhqDK2/YpFH/ktOX1Nj617kJ
oCZEIFoa/zniLqagdsDp78yoJY/nDilImcJm7RstC/hfNq9rmR69oDsJL9mPbcfIGJwD5QZX0adH
H7rwgnDYmUJGElxe/tYzUlpodXrRdG9bFd6FM1sMn3vcZJVurCPb+BQZ3Wk0xJOVaLRjxfezegst
134rcU4V3GroUToagfY06v3VAlalJ+MqhES/hpf1amqo91EZ4J+rELqphCSQZW/yLoi2lZt9LmkQ
nICRkt2qd0kRbxOm9yCOjE8kPg9V06N7x9iCtFuI9MbSFA9OANknmt/i1Lmf7TY45XAg9tA+78oM
WqrqOfOrdC1m+7NRyq1j+gthDfYubqXALzWaO0WLMs3gPZmAHJLD0I+TM50MWmg3hsHtS4+srVNh
YuChKJfmSAxVBvquybrnZojuq3w+TV3w4NfNLteQ58fB/ZRjtuA1P+A9fGqrsIcQfgMAcxXr/dKM
JSJJNm5tUVyHNniI9Bnck+x3WkpgfXb3dQNrMjV2deDxpzGuWgXoO2R4y33tnmYQd60DvFi59ZAs
eoNhoCXPTcp+v04bBvjrbqiiT3YWtSz+0jmaOdnszE37TVhJJCbC55Hb8+mcTzCHuA/VvCSuB6DS
p60T5N6Ny/CUgHSfr2eNQ7iJwM9AoofU1GVvOEXWnO7iDTsMGXQXl2ZpppzZmQR81Dho0WqkYWFR
9F5/iNMRh4Q2fc25zNp8ihcJvoGlFdfGQkY0udlp+tQXcLD0SSqykptvDOj72iKLZbass+BEpLm8
5pXRPseGAz3Enmtt07mDfdsMWClTd8aXN6TCBQaFQ3FdDnO6An99Al9w6MvoxnSTjRhjDr7zJ3zA
d0FVH7uKJgQHR4GZYmXDDfHsD9QOkF9c1wYk0j4Zt53wkb7a9q2n8NRI3BfhW+d+IEtPDWbW9ZvW
h01kNQ+lzijIdcJXVtZPulXvgD9cdXt892PrmM38mTy4ZDxIBZYh67mc7SMDgjP8Rmsp6diIUzKc
JQHUji26nghky9q/xrq9Agt+1zbgw5xs3peBPNljtDPqGRBnuc+8YWEXerJidh4wcrduvSG7b+kK
hPE4rbI8f6BJM19mWnLUo2Gv69qZAd6So9DWHKs95/WtloT7wKmOQdk+SWEdAeYdaoud1nI3iVt+
8eN5HSfB7ehzUpjIA89+uK4xwNpV+56F3knLwbHx0I1jd+y89Avm7mDReDlSQHRXm7TmmhCsRDwt
rEzuwlG/bxRrqs01bUkZEiZs5jv07fl9sPJUr13nNTgKjV3Wmc9EPJZpTE0TaLWlhbOSo0VFOQku
rClNnlOA9gGuV4wscL0SUiBwbfdaGX9CxNxa7nzD7TzEuGw8TJBTrbh8KgypE3fHN6H10a9+XXBR
jWHktaF1GWz94gcWFtxWrokTrIXvbGMv2nuR7m2CwD/2yfxeTvalLQ11l4JhIE0elqAY7OXgOvgM
8Bev/Um618IoDrlg3p26kt5D/TYVmLAwFi21wNo0DSAI3wZiXDeEQsNJvtgDtAWPlYbs7HgaRxcV
YCieQMbdlpp8Mc3Y35RR9axzuUYB7jZJ06cEXXnVrg8XRy09lfKqFrgfghr/i10mZ7DGmyTQ5qtm
1sfSCCrw+s24qursa2+MSM9Tla8E/zcldNL21X0QjTTezNl+cHBxT213mmu1a9vieTT4oMW6G6zq
kfx6NQlamaJLAuBfxIKLdDg3JyzLqhPPemLKSfMPDhOvSV/gXIid+rhLSihhX7CbJ3VvvbghHoVS
3BrDGJ08i05ho9wHpf5gBpxoChtPxNBtA71Y6VlyqgIda4PA7GlnXzsXJYLKn3VguQ9JizTRxsek
l5wzMXs2ZvuM1Hznjdh/89K5xEaAcTrGuiImHPjxpyr1XsRo3SEyFkfbinOstpKmv1a8zJm39xpD
W1LEmG/znm+sVcamMKJ2RVlUv4vTFCUKxkq8DESmW/e0eplcI+paExg7JmEiAVlSW5tGBIT572WE
FFhL4o2E6mkwc0ep+vECZUa6PppmHl3jkshLfm5AMHn/8rX+Zer2x/GU+68fIg1BIxVBeUfd4r5L
2CT+WFta00RXfdpr+VlnuqKJh3Z4+O72evMtffY9I/2npNC3H+NIgUJsCxrTftJzfcyZ3AJ0Du7m
16F41Kz/Er3+k++Pmm3gGVWZKvvnv1XjTZgOZZZe84EHbef6r3/793dQyvkL8YdSRKEf/0yBk6OT
2eCJcaBl9o39rxbFv3wb1BTwu8zeH/4+P73XQiZGCFYyYgq91bJlYmxqZyWixfiexqv//FL+5Ecp
Wr0KVtkkEL2f3orUDfQZ1Te5AvkmB9/iRmNKJJZsw1r5bW79ly9L/do/vawf3hbly/3u6dKNiMYl
maaYBJYePc7cu9oVa+rUb/7+i/r+/f/pReVO7BEf//aDrGgFpH0MN+wjaisu/8uzpn7pn1+Up/L3
LrsjfQQqTPjdi7JsnLBsvPm1oRonfe1H+q2//OeX82eP83c/4ufHbW5szkq2nl9z9zX2X4T2f3ic
qUejQZmwjUEJwo8vIa5SuxWamV+xtMLlQ4v8PyxeKgImMRMpFxLcvh/+SLmWc76XBlK48zo4lw6v
i97e/+e/0p89yTzEDj4mS1mZGG99/0Z4YVbm9J9lV8giMI7camHYt329KECfWv/lSf6Tn4UT3STE
7RD+QX/68WdhXUFki+38Gqo79TpSkKW1Uy0Kzlh3Hy/rH8lTedD+WvKkVvW1f69fmz9qnuoLv9M8
YUmzNXJMVdEA3vTfNU/9F6gbNooopzuV5v3e12brSiSluhC83A++NucXPsSMLVFLUSv/ZtTgTxKJ
LpFHZUj5oNR5zk8PZR64lCb0bnHV9TTYlXRkhAG2qtoajtg1p+XQmc0JTmmxtfQZ7XzsbvJYUAeR
Z2+1MItVozU7ZgP22rNqwD6D5DAmwmqJejEzsRlMjpmutnAqOXNyHLObKvCeQm5Ly762rCXBsiP9
WafaFju38MATaTCuphLWXEAqr3LPcz3hiCqSftel7SHIYizOwj7MLib3QDhn4hqPgQ26sY1crhpO
ArQ1YmJav5q2yKkpCj71mV0uBuosKXBDCEz6+Sxz52n06fninPHspcWTHPujlxinwUkfNDs7ty7s
CCqdHvMaD6xmUM3nD0dnFnc5t0y0hBczGpdBFWwYzjqY/8pT6RTPJgqyFWa0h9vQaUcGJzwUr23K
yCMfcWFoTruOEBcXsDlBB9ejJHVYTeC+8m7d9/1EOyMrxDDiTwmsXRFyJ2DadhlSxjPBPBhbO2k3
sawYIvYcphMDPI0531i+/GK25UPSTZvBpVTACsDcCImlPcPvgnjhO82N7JzHsPJxfojpWUb48JSX
f8VUG7pVHhUbC4//Kseb0dbzbT3mDtfe9DAa2ODnjJqo1nyUYW1Qa2X6S1l417h3zEvqO7vRxY1/
4bwtmdxSCXmUUxwvTUZ7kdNjq6uocGrneN0SodvWnfscSpo9iMFhcCmiLSbKfJFkxRea04tV3GJl
Q2eneZuCJp3ymHbaRUQdcBPGb3VtvTu2+U77TLALKnFR5VZjj0tm0vtsTYxEfLLshB4/cAJYD6Nl
kVeHzJb71DbOdhduajdg7EeZ4HoaRxO6l5y27ofpLre7dj302m1UDr96czLUS3B48VJnhjpXAgQV
U1WhVeayYs7qSTW7M33m8oAYV0K4O1ONZot6fKXmDhGFW2+TrXUFVeXRVUrXU2FhSg/VkJeakwqJ
KxjXidMBbaXKidoKxsJtyqjfstM7j/unNH0SfsyQc0+e/L4xFpkaL6dBzOfCSbu1ix1gY6kxNAd0
faOp0bSOa/s4Ma32mVpbanzdMsfGIYRFi/JCAFK8lrAF1aTNTCMFtxYOWlfCHlDV1HDcCssbn2l5
mOn6qlQDdMkkPc3l55bJelPcRkKghjJ0d93M34+yuIwMLRaUxh88s/hVNCmTYUb2mcjKtUMCaaWN
WrIq1WR/sJWfobKDlWKnMXiN58+msgIAhImx4AzsWEDWKp/HoM/8V3xgpAWm6uwrV0GOvWDk5pZz
CIV0G37SguSde7a5MHOoUiXyWOPhuFVuBVIHFqVf6QNA6q+esjQEI8+dpVwOBZleMc7VQisZofZB
lZ80c7TPBv4ILcqqC0MUTdV+ItJ4s78alaGi84EpBjUmi3Doz1DCXIb/GDBSL7oPa55mWwTGnotu
yEWdd5yqQQp7p/m28EsJdpfcMpHfGYFVu7OqmvQ0PwmEHFFmTRlCYL/6G/T1GHxZK3b456kgCg8J
zZzYUqvbTMkhOEx0X38gC1us6LiHnMdI0/pAwDcfOPhyNOrnxLObYS2xdsXLplPDnx5YbNsjNDCb
9/NVFUfNi+sFofj/smWdDfnfhekE9sHGCg5af30muG9f86ghff4nhwL1ld8dCtSuzv3SlMqZxJH8
90MBRGq14QuIT/bPhwIcRhBmMBqZHxPPf5tAHerbBYlGOC3SYxz6t/KH5GM5Hf77ygCmgKgwd1Ms
9UACuaGq0+V3VwbN1aykHtPi2k3osefYLO34wlkkNtdtm6U3TlT1LTQ0+2KX1U0Xul9EECJRmtlD
b5C4y4zsVJn1SzoVh7TJ76IsWrWaSRQv9s+ubZ/LkVro3KF1yWKBq5sEDNDwNMf5O00RIxqtSRVs
IotbxmsbIxNsp3O66PwQK5Do+PS28bntNJYyl2iv1efGm6nxWaPMN90MQe8ae8KfdXQwE9kSuzc0
DiN6T4aEglIrlgtf061yIfty70ROtq0c7yCRbMWD5be4pv1siLuV9/HJqNWHJFYfl+7jk9N/+xTx
eXI+Plnpx6eMKnSNiadqZUhyfFXr6qOtgU0HKxXSz1snqdkd0vzJUfUObThs3Y/CB5ofsAzh0VJl
ELGqhVAzKbI21dJsWoHDKwK2whEkpE2i8PtHk3YJrZ73BD7veidb5gQIxZSvetooxsG+ej1KvktP
BXv03dREr6VWHKmr0Ci06s6dqrZw4FFCAGX59oy7vtP2khaM3K8uLq0YpoUHXxt2yEoHujB3Ae0Z
MLwvmTleuoJJ59TceRQGMDF4TLx+FdK+4RvBVYYwJaq0vE/p53DyCN+uvh3o7ahbUJ7jsI/p88gc
Jqn0e3hucyDZ2C3dDK0s9r7m5MIEjSAWqueAc1SUtEsUDWp0c+Ml7UtNk4higpY0i+Q0r8wF4ga2
Kc+e6V8Xu4Ymknkozj3yIE1uF97LZRkPG4/mktgvLg1NJkgim45mk9iOt6XUP5s2fY40nxAJeAsK
KILqrQ8c70FwwqEZaevSmUIMt0X91ek8obG4ii81Y7WKlpV21h5tWlfSWL3D9LCUSbZv6GVxiQV4
9LR4oln2efoEa/KR/OtdS5+LX9onQskbk54XPe6ZWk4cOWmA6fkllvRMwisw2ORhMTicsogiBnTH
aNF4JBywB9/OGWyq32vHvCPydVer2hk/6O1bx663kRyopPHFebJNzpCpHu/pOIJTHpmFReC25+9l
j9UVIh/jCx6pDodv2jfakgF8uSob79cpGC8QLFcis05OhMBetXI1MlhgC3VWVlV9JuPI42dJKrj9
7VjBKdUs/zO54PPgIWK4WfeQUJ1radzTE9GSCySqBluVG7WVQfXVwnpclr2WExg0zr4Qd6KO6iWD
QVxMI+846ImbuNS2jaDmG/PCrgwTfIwNKmk1Guc27raYjFVzPMdMGO08Hbxbyh7ldc0NBIhpmYvm
aFpcMcKpOaYZMpWfnKxKYQ4GuGbVpTQ5Vg9V9qUUGW/GrK3MAWRt7EPuiFp5a6fuviDeuKoLGAx5
giPKn6nf0Ri5FLoJCSsEuRJH5SmLUnLWrbbMzOK5dRS/xYQuq2XzpTOoVkmiX6VVcfBzzR0ATRAT
ESHFPO7vZG5+aqHeajYeNq1LN/T5lJzbhrMNcRu4AysAvKJy6ZUwVszK77jClNUm7qZTURnDQlrR
lULmx152lNKE40MgbZ53KtNziu56N7n6dG5z0sxoRKnjR6/PckB1oQffQRtOMyDkY2jLZPmPHvCx
9+vIXn+991Nj3zXoWj+fGNRX/b7vG784+NnZq80POxP76u/7vomdydZROFH2P4ojvuMOEO/hn7AY
szFz8f/3vk/+DbUKeYc23G8Hib8R/jBVXO7Hfd9xdIImFHLxK7gYqn/c98fBD6iI9sU1mUtn2s+y
yKy3PrRa/0r9MDhmij41E7ladbR14f0kAkESVJRcGTt9Ae2GT1VaJevOa8WqsTN9pw8JnX2jRTNn
X7wa0xwsKdt7nSvGPZkVNmz+ko9oQPuzH9/EFZ27AXAPGlFoUXHp/XWnmeipR6Mo+TafGqukXwxa
1q9DILDM8NsjYh3RWSd66g0JcQg7RJrVxOFXeT9vQZRwJ9EzHBRxcTtjXiRgsOfyw4w0BQpqgiNf
ejQR0yQ4v3pxfSslKfmOFkNci+aNqbfpuRNzsaHsO1+ZID9XUVN9tfzgtYuJ02UAg9vpnQu7vZrs
at1Dz1+lTPlHUzyVeYC/FSVhJ5qcubGleJQlkWarQGTBUlEvjX48WnMUr816fgcpuumK/ggRaWs4
tFeUxbaxmnVdFyuaHXtaFLEAMaJ6b4l1s84yEgXiMluYwXBp2eCTgSyQlVG9YlTjuaojL03LXUZp
3ljEDyl0GIL+t2WtH0PK9WgXpqPazm573tJO9e/pY1Tn21Yz3I0ry4NhZ2/QIPE6O/6JE9SJxvhc
NTDl8oBQVd8ao176n+M6Dcx1YxVBfqvN7VRuM4NqpUBP9GcKM1irJcQfSt0oigQBFMEC8ppw45he
wIiSf47gBXEdBhykEEIZHqJ2Ci8i9901qtG0qeANDRoxIKLXL1L3Htp5vDV647MFoQgz10ukkEVS
wYscKEaROR4GhTVKQxhJ+NzAyTNWh9DWL2xy5jE0JGjXO0fhkTo4SZMCJlHlg/0qcK++gimRi8OI
aq+6EMuCrYBLrUIvzc5XIy4E5fDtp17BmTB2masUXlOiwE02BCfSTduxBOlUK7iTVoRfgqSal2k3
zRt3wJoPbWILF/4lglRUKEhUrnBRLrtPqQBSrUJJGbRgjwouRTHTzQRtqm51aBwYG2I4VBRlBWsk
bQd/Ou5gWFX0Wu8gJTu4/pjxcvNbIDgvOwW4CmXytYF4VUK+6hvKPlOcyckUX/BrH0sFyULKOeZD
6ixMBdCKsfXWCqkVt8C1qpE6bCbRcJshb+U4DmaMM5z+9zpkLkshumYNAogWgu3C/v/owPEaCRvo
cL0qBfgqIX3NI64mhf7yi+ZZ0itqwATT8GaFMMI0r7kNdfleivmSwRCDk9UtZwlWrFSAsR7SWN/T
ywl5LOiiba1QZImCkvHpkZ8bOGWhApb5H+gyGGZ03x4lDoX1P1vbt2stQ6O/3truI7wcFM/8cXMT
fN13mxvsU8Mgio3fzlbb1O+bm/ULl1zweYp9x3CYf/ot2WhShkKvtQ40x1V6Nvrzvwy+9KR8pL1d
NiOdtkiYqn9jc4PT8PPmJmhoQTVXzmPJr/LT5mb4FPoktSxuxlp3NnkvBlqPBO5CMexCh0oyjsdY
NaiMvfIi9KOesoThBnISvJF68Qx0qjnDfqVS1LIqYLVS7Oyxay5D4pe/lshrWyfto1OYOhjIAhJ5
y9LTMLVmhjbeNHXWXqs4Fi+aLtuN4RN1WlKijCco93OWjtL7Ff7d3TSm9jUwDO1gcqWmqF5mj607
2S90TdT3g2l357YJiT50KlTpdBo6pj0Vn6xOxzNrNeZ7QYDv2dbTfBfYNCdS6NG89hwgAO+70dqp
2VqceMBrFPbl7YDBIO0wkAZRUK566CP9FeK56L/gmsNGbzBInsZNWyTd1pi5cr9DRotDANtqqaTl
Pq/B3NAw5cCxCqnl8BDMqE6CQNdaszNcXApjufIFIhwFLmDsKEQJ+nLQViRD0ugotRzXatSl0xum
yCpbm4O38Sp/fJFDar0S6CGTTZlDvglCaR8m6Hf31I7Prxa8AHIK2A6OwUD8kriAB6erD954kqKl
ns/zq9+E8zt+rudaqzZ5EB00hYvJDNkvB7sud1o5BAZ0/I7u6YkCgMBop1NSjDT5tXAtFqD8tRSJ
PIg2TdYiGFQ9kiJNF0/CidJ96hmPVlKFhEgr6i30gb3FrdudjBt574Zltm+11nss9UpeRq/SCW0W
artubZDUGGzescp4b5oDDB5FAxoPzeaxa2iruu0ZHmhaM645TlXtClcqdZXQE/dT6ed30nCxremz
/BzMhrOaPSd+ZJgRn5xYxOdGq+IXCrVhN894BptkLl7mbtSOPLxU8Dn5ANCu9p8ZRQ6POTv3muLf
6J5LZnkT9inJGGasBK+E4ELfNHjX2FrDdt2MdrMKMEw6Cjwjd2ZvvnsSmGBqHZxxsG6xyuH00Qtp
vJdFOW+qiHIVr2xwaw/sQv+sxR9rsVod/8Na/Jr/z6mLmv+5vkWc/v64JKsv/21JhnNGOAIomWfq
rucKriK/L8mEzdH26JoiIfmNt/Fb4IJgxf+ydx7LcWPp1n2VG3cOBdyBGdxJAukzyaQXOUGQIgWP
A++e/l+QflVJ6q7uqHkNuicqMpnunM/svbbLzzj8A3NA4fJTPzwX5ieOUH4MfKn7jZz2d45kfs+v
3QaBWTQZQFn5feiCf1s91rpBtWbZ4TWSLOxRxNz8t0gArp9fHmPRCzmGwy/io80mnCf1a0eTQy9y
y2war9BM74uoczdolJJ6Y+fjeTRwo8NKnJotYXhIApWyTlZa64g7NmlM1h3a87Nd226zL5iCnbta
cejJO8OqzpalkPlgNvgp8E1o9rxuBnUty0EtdymZRGs0V+p2HKt5izlaXw8kF2yhnRLgKodka1il
uip665LYxULZz4kckiEjHCUkNClk7KBsixzdy11Rz9HXnEJsY3xXbTmNqqzd72oul72iutaYYmjr
6JvkC4gX8i9iZKubduSviMm/mWFwcoZGn41SO0YU4CuMmmxRkV8bfbVF8nIaOktjtaVccSs8itS4
r9zmrkaLGxb9oyUgnDgWsMY0Nk9Vba7xfJ/QPO81INRI5LvYZ6tyHLQMCGUOQiqUJIqNmL/Q+M5y
OtRCfS6TBD14tgwAySyvYyvZEV976kb1jfp0OkYl6UwmONqVk2kfUSZJNHHd9SStZNW6wH9C08g3
7TiKbWEE85El8bEPlO2Yp7tWicMtFWntxwZY1blcV0N8zgdhrAMDDwWZxdt5rvdBHd8uOJVtUtDM
kelDbi9EkhDOVtGM9bqO8jtZt8eIeeVKgZHyZerZEU91OHiqbm3Gko/qqMVr04RxQrYwORbsvsrq
PJi4djRSZRgGOR60GnaVYSLuhDkx9h5NxPIF058icHU/D7DoqVN7riwWSqGLMj9F5Cwz9cO0uncN
nfO2zqz8aLgMgFZRKuKbsnByXxvNWKD5JRPFpkJw00TbNo76JVUimnXlqtXsB6aM2ywKrGVOSOiw
43WGdppz56Yvio2b6H5SB+tFRZhbQ7pDnb91hlYne4sXXhT2rlH7J256EGts5yCUvsxWf5Yqyum4
Hg8iUy8zv7TXinO+kORMGAul8qo32oeijHtpzieD4EfXfhyDF+nMByTCzkYQu1bb4qGaNSTjTDsJ
6e1apz2a6CeFPl3CINE8g2n9KkjdZ3pJKL+W69eDdoIHRY9oXnPPkg0WeZBn4M/M1caOlHtnbB7M
tIdxiqBfROHF7CE7QHqf6CGxkMh0L2yVuLNeeyyV6J5d5QPOQOzSw2aJgNbt8VC5ymFEhwDh2DpU
ibvNLGZ6jt34htS6vdmZ7a05JAee31Ek6gshtkhQjYw8G4mJRTdK4LfmmO5GJdefJSXO58aRzDTH
aQoe8jZIb0eW76SBQxA0AS6ucOxEfqUs0vuFewzMvVtVOiCNga/FqQeJd8XIgboow9jceF1pLd8w
TdhyVblL0nEVOG+zheSV+d2j0ujWum8sUrrLAHdpCR/HdBkaRATK9VOXHaltwATp4rZVSVswqqHy
Q/LlVpqWHBFl3+VliudiwFrdl024YXP92bLw4Vi9D/iOwfvYFHT7mXUOQEasxxlULduZNxNG/8qC
MchXzuU9EvdqWKa8jlO6DafwlORA76Y0uEEI+9aNrpcEDIMSrObsX+4Ci3fZKF8oy9ezTHZ90n61
6+E6E3OyCdn1rIwhe6av20SW/YIzfgUZkbWxBkgpoItetTixV8lS4gTMXqi3sVusk0p/zzG+bUs0
y0nRPwNexNTQYlOKuxc2Kpuy5m1OB5h79pNWNI+iK56EJkEhjsndmE2nwh12bQVVQxmSpzCa9vHA
V3Qczz01fpgTKgXF8LZt52vRWM9jJK5kYnqO2T8NzJy1AdGvjYewN1kMjOrC13TXhZW+zNUSEZJY
WzMhgm3M8C+0TrwPmzFaRwZZG4mw7tgQ8wpmGmTnwr6v+vjQGlbrkTT0zE1AELlM+fwUF+wl7U4m
4ZMgRGplqPVO5Maa48YnvBojEM8+j+wTDrRdnYZ45cWzW/Z+QCRSyWiYLm6X5qS8Ym8HuZS+svTz
xRAjspmxhnXBq9qmB15rP56hLru6ezC76aYpVf5MszkkqrKrhfUSYMXqCa43kTPgBvYdR8wbRjgs
AePooprj10AdBFao4kU1maXrc3yGV7qtguo+L9qZfYfckf5Y7QgcWwwuBuMNHVNS/GLBCFdr8q51
XbabIlc1wLrmcFF1BmgO7rJ16tSfCzUKN4rqXDNtkFBmqurYaHbIhm3MN8KyvsRQC3wSU5TPQ2nx
eZkXQSczq5UBI++dfErb1408Aic36echav5mqMqilWUtq1tUIYCINWvpS39apmqp0PK8CJSrJMHd
8pi6b6bY/lQCXr5vZn+WK9N1/1RJfVNF//IQS6X100NMfIqttOMhVPoQy77uymvyVf7zYyyS1D93
wj8eAwQRtSGkHuO3p6Hr3ZQPbhxeq6CzHPt6Zts43hMu+Z8f5tfV8/eHQXIN6gMVJtLr35TFoUxw
06Z9eN1hFKuIU29wxCjVQ2dehh5zToMpSHxXyP6jYFxCqf66lbh6Lf/NvmL5mR/9g850Bq097weD
2O9LiT/6B/0TtDPUbLQCS1oU7+OP/sH5tAyACMH+/1sJBi0/+gfnE/Q8l38xBIzlZZXxN0Y66Cd/
+UyiU1hc4eioSVjlC4Y+49fPfV01uSl6fb4uS6CfGiYJNtrMAkoxPWhJtQ0WZcLAGRaU3ZvawRRY
6HnqaB4bEWQ+8fIsxSpfFdNZzKS3CbIsmfC3zCviayvONlPgXNBFsl/UOp2aUt0ydTwPhjjJXG6d
0N11iY4lqjCpj3GC1yFKoNYa7iwhu01rUBRZBSgnl7F/b4Zn20pL1EZpsHIqsZ6YBOBCU7e5Ee9V
hvdeqTuPJAxcsC5dC5fEvK4umLkbffaYIlELxpT9onBvsiS8Y+rhFayN2DoQORtmUvWn1kQUFyYw
V7rytWh5nEn021mp6fth4ikWBiYlBWyMPMhHrRWtqazVFgFceejUMF3r5QC9ExKin6LhjDMWilX2
xszVbyf+9LIHT1yBzfSkmWzHmRWFrUYbMgB2dVFQhbWuVzUgNs1M2+uTPBpqFh80RRwC3OpMstXS
C1I80amUnjtYd5UWI1FkaOLhfedZuLV57WTWvhjYJ8GEtlaiEdkeg/GVlRqoTguuwjZ4aULnPlGI
W4wVY2dOwYdqqjBzSSGE352zekoGspCYqSumiYgyQJlAj3WPmxsF3yj2qA1H3wzLW03LdmBibC9C
SkkZ01SejJtgj/+ahZYK5apM3E2MoWk9R/EEJhtylwjTL7WGxayvlp2MMuu3bsXmfxbpOhJOvFVU
LfKVVlM3/besjoylMGm5AWySJcojXDAzg+Kk+5Kcj9EG5dsv0R+4a5JtK0VW7eomlMGdMzjKQbOi
dygw0P+pjQ8zghCQtvW+rsJ7DOc0c62+MxU44CjY103UiXVPY+L0hTwWTn1umvyrHIsaNvRwVMf+
c9kwn7Tm+LHTWUzH5KV4fVB+7ukk1mwfTl0xnvJcNb3aSW7m1uk9KUljGMS5WPjKgfLYDprqmcO8
QxnEXx2a1zas584h+TZOSAoxU7ly02ab2PopYx3BJqB9mcvgulfTB1QCpOOIYB/qldiidMu9REMd
Wiey2cRR8eqqKdxFxRuzkHWU656LzN21WAy8wVbe4yB+kMpUeaESsqDQ1XcjLh/71PFpnadVTWD3
a1+LtaIpz72JMXNoHZiHVe9piJlurNR8gQW21Ajv9twcMQ9ezZp5DOOZYkiK6xF+zbmoc2JOcOiW
tnU0xtqrazyAih7d9qHKvj+eyEK4T5W1OTnHMiZgok8akNgU/UWp3Me9rcHlzW7Iy1Y8XdbPpdLe
JlYXeJhxL5FAQmgZrW8MgZ+z+lMUazcv4dltgFkfwJLr1SnVf+Se6cD2dp9eQ270OpN3HaHCsbeJ
x0jz+YXxW7tp2XZazg4zMCpEJaH06atTN8x7t4zfSEwGg6ZpvsPtvSrj5K7NxJtbE3/ajWDqisp+
DJW28LQ84EsswbQbzPryirOQ1BNo4k2hT/n3qMF/blyVK+ivb1x0xm39+j+ebNp/c/MuP/vHzat9
IvER7Tm2GoCMDnOtn25eIgHED3KZ9cvNi80Hh4+AVfv9ev3j5rXZwKCs45pcyrdFcvg3bl5dXZYl
f1aDy83LKgX/Hc4s+vBvtoafK043t2e36EV/zcYD8LdXVxI49KiZh4JWDtIDa4spCVFfj8rJKdDg
JiJncZ/gOi2AFmptcs9tcUyd8a5Xx9MUwAYrI8tddYMz06rNBzduH4d8urJzYy9i0giAq66qheA6
juxB0byMYHXjGc1xjtsV7QJSKNsdt9gKvhpO2HpDg8tSjVNSD2JUZiQHsJZwzE2XJA4rbL7I7KCf
JwtsUJOZ09ptYdKrdXnPFKZbmZ2io6/n5ixn1ZuGdmWGnCJ1ETwx+Pdb3QJk1uASi4c3i3lGElS5
T0rgF2BF4NWt+LNVjZC1bZKLRsYwuNpXitQ/c1xuHRt5G4SSTcRyd2U0+U63iGbupYOQLc/9yezr
VcygZJLBW96O16rk0ET5/4znN/Zyk+jbdNw7UYgvfRxqv+4VYufD8j1UTW4UrfhcShRKrHYNP+ja
DyvQCUpOp9e4FMERBYbN1l8n7iS01krhaLd6Y9e+KQM4EpSDEKJGcA9DetRE1SMR7iGCI/5rN5KU
p5ntx+JClkiWDJVY7HFeOxFK5dCdYefqRXOGLjP6Kdtv2A9xSamBua21bMKBmjRaK7FEea/GASHY
TXxEJZ9tHXdo73TRz4/D3AN3VzOynZpMPU9WDk95SNNnWUOYim3b4q7K89um1qpLhJF772j1eKpc
cDu0ovKgW+iql5s/OQHDZCaiyJGOcsYdO+dEFo+gahx/EEq1L3T1JpUu09NoKB/UiRd+GxD2+qKg
6vtqOqjrc1fXuUSmjnbT8aac6UWTlKwLZy6Xpo6PWqOfyeXhVR8oEcNTU1TPasMZrlTdVR0Vwy4I
2qVQAlXQGdLd2IKNO1zJK7PV202Vq4BR6nZdQcEIAsTpaca0szDI8LZ6t/BnM9V8qTmxb+cTKJ0O
af5aj+/gBJRb6qf0LF3HOaZk8jy6uePsLaRK4FLVYMuEEi61Un8ddYZyeZn4ozPF/7RP38XeBn30
Xx/md2xiVh918Vq/x8W/W8Tw0z+Oc81EoI2WelFVfZN1/3mcaxi6VPqohUVJu7t4x340UoJ/YdXm
0ub8kIn/aKQMAmxQhKEHtxbhNxjfv3Gca99WLT8f57ip6Z4sG+wvQTYQM39tpFziZkpXM6IrJXV0
X/TAb515MvZWTxgn3/0JSFHV1jBGWMiy/ksJRGEGVzUJp3yarF1GhepVUeumX1RlyOTf4uN+A3RE
Tq+QvTXAhyG7EMiOY9ZTNa4qw3GM0TesJZ8utbVqBgTh1mGzbUmbiO6cFt1WLSiIUDOCDSOzZE7u
c5n1D4zeE93LAJ3fRRqpuCs9SaJNWWZMEdus2U1RXK4y0dmPhdaTeTGxPHkscxd1iiHKefLMghkQ
itKqwA5fOhcj7ctnI2drqohS7DChMtzX+iy4Ri4XOkSuJPGZzsAhATyYIa47sRV4rtRZC6m5lxtJ
hxPdzq9sq+hvUY7BouhS3UQzVeBaUwLhdVnlvOhFDmjBbV05r/q6s0AXO7GwKX8z+xbBlZyJz8rj
XVbb85dcVwzwP+bUFN6kUtzpm84VCXMr0+gAKjm90W5FzRvS+PGo9M/AaTRtnfbgcM1E66ICWXUU
zNYahNLcg8UcMIi4Ozd0+M+msg63ttrOBMX3yYvhFs2Nazf2JskszQVwaEb3+VBeuUZTDhep8Gpe
CiXsQSM3qsy9MJBdhehG64JrJ9aT5zRr9PvR7TLStbgNsfgUapztVKNgsa04ZZDsK61ORvL1YnP4
sAYn/HBhxW271ggACkWoGWIXLAZ+Qmb3Cn7y1Imbz8iOyvq6UhTEXZh0vn1h/ylDl8Sovz65zq/v
GFc5nYi+a6f9+//97/fzbvmpP04s0q50RpYmJ4L77YD5swBVPwlmQiZSGorNxWzyx4lFlWnbXDYm
RlNilX7mlFufOMQ4svgBA8je30vS/H2xSwHq0JTjhjE4sBZAwzIa+mnkSYM9NXqL7SBw84095RxQ
zTdKZX1ltNkT2QDIKVrXn+PpYAdTzjY1PGey27GK/jCVvvIGl4BWY2g8+NDHUbrBanaTc0Gusq8p
yk0Rx+xRJPgeJ88eqboWZh37SDMuv2gdN2nrdFctQ5Ve659RnCIKTNeCTByUKNGL5Wa+ghvlsUYY
i3M0PYb5EHh2IHqfP1tuui6+kjEBPaGmP3eZjRkrhmXeGCaEbIIGNmMbfO2H5sPIBIcf1vW1I1EO
5nV8J9PoZgyL11kdHumEM0SxIU26iIGtM2oRloJoEbbdqnTJ42ps+eaI5AsaJ1gQnKQ1ow2/oxBb
N6V2wS3IFio8I9g4JjLutwnLWr+J9YtIkotaGCN0L3Cng9OOXmaZzha9b0+M9vAlaJLGy7SOZVDk
AM2OxATGLrnv++kSd3hcDbWlWMJrdxpy967J6XZzDX7uUHPOIO9X3PkYZe4hasdjKSPVs5m/L6uE
fahhgAwlFhW2XNDnOqHggmgc3yWn6KFJZbFzEToRYmMDOylb40DRlmwQ7bwDdJ8OYR9paIBUshXz
xNkazFHWZWicrErbV6ZTEu0XBDeTUmDjq1p3M4Wqit43d1fg9JBjkoR0Iy0FIyfpDrFN2Vu9sDSY
t01oLPz6aOHXkCpflubGLupqbwZw5K0iAGRbzdgyCygFYf6lxfXvaTYU8gyHwzorxtFHTvmS2QOY
2ro8x2k5+fzSCf1mvElixlLq3K/jQGvXfWE1B12vbtPAjnxb70c/GQUfyM4WVyqsvV1Na+6F3fyF
YAljVTYd/ZMCzSpJCxenorR3caL3/jw5Z8I6XYTY1kddEiqE8eeqGGj7jZaPsjCTkY0gA88ynBxP
U6y7IjJeehspQUwIFxJmO9u1zQjwMBzuFEjXe3wWX7A7FFCtWTaTN0sGZ9fzMXbtS6AyeavMzNwp
OWunRH9TU7m1lbFd62NzVnKFKBG0FCtzoLyNqjcyvSbefLsit6txrRtyV1vzsJgloQrx4Y3XY00N
YgwfWM2fxpDvvJ46EkUtY8KJKeRktMbFHvJn6v3GD5wY9nTTslUV0+MYsj+zgqFej/GiTnNTX0rY
dGkqnxzZDVuEZvB4JdmiNfkjGj3Rsa7AxYPhZdErins0Ate1VaJVgArSyeJr3FZ3uoEjV3eOvaMy
JUuO8xxt9TQ/REp0VhMEvHAeQ8RRHRT92rxFFtX7Gr93cbEcHSMdPDuq9tJGHGKl/OHwr5vBPIL0
/2q19oZmbTmaTDxf+XRg4vWqE2yyqljkraqR4gg7tHVgCbhxxnAMOnqItn0qaFElGmuEtF6k1PIO
P1XzKMdxeB4Dnd2spTZ9vTNiR7yEqRSHtkHScCGYLHT2baWYL0Fo6cE5ETGhKFhr/M4NnrSI4BMx
6nw0AjhrAZ+XnYkjfz0khG0OfO7Wgq6cabX63CF1mFM8r8iadxHlHRhvBPVDDDrJlcGNM8/XY4Fw
fgZBBnUqv2RWmD50GidcXtLn1ykKmC5MvpK5c1MD6twpA8lsqKHgDKSZZ5f2reG27/nUP1YCjCff
4q0T1I+z20WrSp0vrhkfu3QSXlmqr9rIOS4XzduQ32pIVLy2DZpdlQGEK5rgekpV3ZvalK1qmIyY
7gct3RdSh+VoFK+27CPggYBnbCs+xWnypjsDp8H4NkLiK9CgMFEQW2xMfA8zIhlsJb1nnsEwG8g7
bGp0dJgQ0CwrvYOuU8Sbfkq+WkZ0mPN2HxQGI5IsXuNx1FaaU/Rg2iuyZvOBvDrq4yjg9KuJ0NkU
VKrw8JjKJXq8buU4MyXIt0aval4+gPOk672NE0FeRm2fAnyZsiEKphoGyFYk91aRjjsffqcIlY2o
68Zz7YKtgrxInM64PgqcTdZT4vRfEvIct8OYHQd8mqt+bI9BOT+Jylkhi7qeBPUfONxDGTA46ZJy
E7sqfnLnBT1ZDCZCQn1TpLbqSKQujNjwiNojbyvzGWrd2S4rDE03P2ht680wc9ga6ECSnDgPopct
/sNxU1v1wWwdrCIxKoC4tvcAgjmfkaDDblilSnyXBflr1dl7nRyHFNVmL5XH1OCtVh3iKDrZctz0
m1wLPxLX3QnY5lLhX4PS+QoR971stGOuR9/3sP/UkypDxr+uJ7fZR/FvYm+WH/pRTuraJyTX+Jiw
FsE0+SX2RifEi4oR35EQur003T8aYGJaVZWe+UfkKv/0owF2P6Hr43fxfwtwzNL/VgNs8Zt+nWfC
5QGYw++keDX/RRyOBtDWx85xr/W8nlaJ0OaSOeLiZjGUItLXIsqb4AWYQH3DHBLvC+qiwpvZzVmJ
e6oLN/XKPH0j0PiwFGS93pIebJrQIUoD1iTOn3lfjEa17nr3JnWGr3x+Yw/3yavb6VvF1r2wQeIj
qi0Kmq1TGFdjqeyUOHsT9Wh4diJPYTLcpFB0V1ZbI8O1drZKhlOCDsaoBy92pUI83rQVmnulz6of
68w34bsCqFWn3aQxUCwU7Q1JDkC+XuxrZEqlae+hHH4pi/GMFykT64Dn9uxCl2gDizwBIT/qyQH9
x/YjYTxK/CfavZmsxJGlp6f32q5q5bFPMxTVrYqpxFDqdZnbxZ7DgGfLrNdv5PyUN/3ZmcGSDAkS
njo1ayZYxioy9W3CZnJTpwapWXWIfmfQXp20JrI9RX1k2lzIsnvOUZMxtr2LCnk9Tth0lTwQm7wh
Iq1Qi/3AVHD1zTquUXH46oCuX+aO3CJXMvxOyXOPHfKpTKabXJDxArZlhWPkfcp7hxOD9W0tg0cn
4xA2wukVNxvDB0372uqs3/puz/jvlLD2XAUuBX4P8GHnDt1wkqRzcQwrixO9Pc1p9pErxfCZ9/PY
ipc5t84mKW14Zy9ZlRxIF7gb4PeDlUmTxtc0t4pOYK26eU1aeRiuyiyTEZCINnWBT4TC3meNYyqA
qKNt7Dj1SNpO5Z51DDYHO5WgyOF673ldSpLIgRlu4T65d0EakJCeTUtaeiVna9cvEeplLczMzzo2
R9okiUmnbNVPdpZ1FEGsj8jrUD//016rCwViESL89XHof2T/c8Us/ONfO+zlB/84Eo1PbANgPC1S
a/omjqQ/VjzmJ52pMj7RH9mFP45Ec/HLIMpWAeKb3yD6fxyJJopuB0IEKx7LYD0Ew+xvzAQX6cTP
E0GTnEOOCpwyjCAx4Pw2EWyDjjTUudAvhSS0N41Pdggft5/WP70yl++/8Gflkv7NU/rnA/FM0I4s
uywwWKikxO8AKgWLoHCidLgIrMj7NlQdcy3m7pADjQCtE1KXsfb1AYpfu1N3qtLywdbrjoh3+tEB
YfQ6rbX0yMrXRa/pqp4xoZtgkLfkLtafh6akaXbQPEdGCWq/ye5KHtDTy+wCwBAHGagC1Bg65GKl
X+wRiOKQrB6rfPTcBPVeQSqr7+J3MIy02ARWv9FNQV1M8qHfYBIpbfNJcWwYtnRfPM3PeGOkB/rp
DvTMrZKPV4oCmzVWqU2G5fh23H3t9ldDkIcsF7QHXHEZipOeycDiuev69kYo82YwuyfXqT/00H4J
8wn1H+b/FH6Dn03xhZDco2XnxJTaYme5Qb1tCCr2jLp+kFa4i5d44CyKjsQnvJEakG76XC3ZJ6CS
zBaDi9JRWBJ5wP6onV9QqC1rneTadNjYTBly8dLwKzSLna09oEU4yzHvVlKbbu2q27Jm3MFcUlYt
ixj+UANsQluYXqQLmsMyQ4lQOZ7tvrgt7CPK2K5ifdV0Zkozp0KVRuldNnC07e6rA6ICcKw4k3+G
o7DIaSHx5Wr2dKXDhxgnjMADpvZNqmWXKouSjWHgi8rNM+jbkBwAc+v2vLbRYgJSLOYrZeW+sJvc
EftxK4t58o25eQTMjTC8IXqZ8dBdM3R7TXDB1Ib6Rc3oq8JhesziWGxHY77WR3JjmijpV/Vcv2uZ
/q4jlPbSUdvJjH08UzPMt8M2T8VNjvKA1DbrZBtz4VlZ8WVOys+R3UQorOU9ttfENysbqXVnbG1S
oXXmndw4br3mIwb40USFg3eqei2gnteb2VHoTYU1cvGp4AN6gAKMxXfmABJXtYeN5gwozSvE2Fkm
CFKZGHQEEIdM4x2tyT4WpMXPkrtiSsv+MRUG1xZNDfpmES9uVuTrMPz1vQFBSevTq3bBaznVK+bt
Wy1VPjBspMiMmxvJp/F+0glxD5vWG93BR+ej7blgcwIn+5NT44UGxsrvTZHCNH28Z/o7PFuJ3SAF
Ks9hrAbwLEcM4xCOTCi8CbGebbMbhvbzHCCVGt3E6xP1ktQSeQxfWaNIL1hIj5mi7OcsMllQRtF6
Hqd8k0BGtgamAMmAjnTstNuotbajbD9SbN3eCA6msMrPtPmkW+0jkxKiVXakVbxSq7zMYko9guAa
cIgvmXnHaG03dd2hlMtoBlsxyRb6BtRV5JoY6WZjPRjmrteNTa1F2JPnst8adtJuVI1WMezNl4Ji
Aar14AcKixFzKLedVlxPcnjGvdHQnpuPbas6Z8L9zOp+2ZuGDurvndRzFKj/5Rj9NYBsOUW5Lkx8
z5SuAAYWOd7P49CmYXAI4Hm6DMxRVuY2OIx38rxPYOu/Fk/lGqeHB3P+iPW487Gf7P/z4y/T1l8P
cR6eMTGyPgayJLj8+vB10Ilesbr50tvQbPYuXkR3fFHQVP/9x9EXxeHC6jTV39WhbsudFY/9fNHw
WbJcJ57dDfeMOP7L4/x6+31/OXk9uQNpLtjL/WYbqmC7iU6L1IsljrUFDpYxofn0n5+L+e/es5+f
zG8P0kWq2uikyV76TfNIhsm636nvju8wOTqD7AhXtxhSVky6dg9Xjp+trvpzvHls1sH6JjkMqx1b
/1Pr8x/6csP/1o//+e/TF6nt728q3iwgywKQsPgWifzTiD3r5hkPv6pdyH28Cm7UtXrWnsKDDjLO
6/xpdXjWtqN3VW2GnRBefmTee1Py9w6rzPv2p/zTV5voav66kGTD3KIWqrv5XyvJ5Sf/qCQRC7G0
EzDF6JS/bV3+qCT1T4ZGhAtV64+A7B/Ntf2JrfMiuAZIi8tv8Q3+aK4tmnVV6CCGbNXkG/C3tssk
df/yQVp2NUtnjdaedRJd9u8yXTfAAhw6DnEJI4hJZHh8cvUMZsJYPMW14axx5EHF06lfstTGrCPa
fSW0r71Uc9q4fDjAtMdHHXGVtmq3C4H8CV4P8Jlki8miSzYQ9teJnbwNAReftiRD9AXlUrakRdhL
boRSTu4lqvIHUZMrUQ1EqgnsbfDlH8KwlXB3nohFuM/zuLgmek2BHwJip4vJAVC5MQ95Fj0FJgrZ
1HVvnLTFHNzpH5pSd5tQV4b7onJ3FrEWSQmsQh2JIGzGWyg96AlLnMJKddUjwcQ3txVqw6Un0Fhi
6I4aUa/qSZ4bYROf0BowDtzIC8LmyxRjnpFh2K/teao9Iw62YVzdEe28wUtNeAPE+aau432f2S+a
BjpyGIcrKIZsEmaym0ZKsG6E4i9jzR/TLmIwmFLIzrcB5vSdUDRemi7uj1k8E+otwiv0ggfXSSv2
QezSW+U9STJ3FVf4S0IQncM8ME8M6MiVPjWZkzOy62Zj02Ws0MMio7LSvMxejDmtcZswppXNu+7I
rzSZ627iJYsr6CWR1rxGHdViE9DHm3ZLgh1TUFxUNN+WvmLFT3ROZhJfNDULE/YWc6a8VLl2rsZk
XKuVVhL6gpEbibm+nXX93py/UV3ZbyjiAciye6h6OGx2G/tWFbAqKXsP8eyGaItjI9vLEEi/zYji
HoqNZGnNZDJ+AtdlbosRuFPQ5JHvZtVmju3zVE2fdZlvzKJ/MYeJfAujv+0bZYblOHzwyON6NDLS
ECvtuoCXs6q06ZKMjoGTLTq7bP9PvVG/kfNlr9pa0/cMwq2XSMntdWWz0V9PRVOt1XkjUhGQudiX
V2Gv2IcylM0NEYOItGwS2V1eoEpZYXR9d0pnOPTCIGDB3tSUV8sGfRLG4BtB/exST3rw4EgbKnkI
JJ5lh7BzYJvQCV5iB8Svkkfzg1EyozV1SGZGad85lXVstelj4aX4eFZuMwAjR4tV1Jz3VzrZWJoL
KwDYD7mATfSezKW7b6X9Pi7LLUItEML1bEek1ty0leQlrs9BijodR1d5kHbtEZSsoMLGPCphs9H0
dCuN6t6XI8LvYginTaIFX7MyuGSEjfjwwNTrPupQynbwVYI5O1Z6oa5n1aqAgAATJgHMDorDkOgo
IAL9OQEtCm23bU+RqahnY6jFh6oG6b1UQbUCOf5/7J3HdttIu0WfCF4oZNwhMymRyskTLEUUco5P
f3fJv91ud1o977EtkxaJqi+csw8OMpFKZLb/3U7fxhxcCX99O23q9+bPdE+KFvn9ZhLeF5Va7jGX
AFKlq1C9HzcTeA8QLwYEa52/gR7g+4zDdLnObNwjoESUtUQNi7/fTPYXBcUWru2iSVWCqn8z48DF
8uvN5KOH9YkOdsmsgCv/S9mcZKnwWbS7J4A/h7Ct+vzYDsbkLOOsL8tilbPGxh9LABsJZeF4T4gJ
mTqFn5fyrI3l02g2N5msppVsiA8a2m6LAHBFP0KHpucGT0PqLAo/fmGoRKhfbkdr9DoVOyH7ROgh
a8lUwzGaXedZ8jB0hUiuWreUN0kSMWBkG+Wy2Es1slz0SDslQe7hzetZcGRa+DSVrbxkBxM5lzKd
3Es792g6LaBQaPJhZRcrO8j0/NZxNcj/tQ+hsxlFAIZEayTqf4uhLEm1w0NikBrILKPYwaaLp52h
18chtg5DZ1/bKJBWAZsifU5vO4uZbSHLV3bV2cKRHdrUOVrWLbHhwnyReTwv8L2fnM6Apz3eEwto
L01yXrVeW2mZlRNoTrdvlSV6dLJvCCthwSks+QDi2KNfTqAA2zfMxy+YaeLp1KI3w3dvs87C4MEW
uMn4pdhee+WauFFCmM+7gX9/gX8l+TqZIQMSLIz6TK9aqZFDlnq3VSqMTZEnBK6YLYPa2NhJ9F15
35OiPkR7U2IxtPFKLnJ0V4tGT0ATEjmwRmB2MEvjKgDWuJxNiSbTMnZFQsNNdtOw9KfR2E+98tZ3
+ptecP10DakUgR3Ac262We4/h7I4g9h6Bn6yXkYeg2Jz9m/cgHm5L5vNGGhvtj9vUn3clwEnP1vm
RR/Uq7Jmbos/Ej1UUH60BR2qExGsxSj7dZD+iNA1f+Qr3cJk6t2dY7XJhq/XFYZNYsq84tTasYbj
g8PUZ5zE9Y0HXlwHJflGqE1Iqx9rG79pT1BgKbERF484mcgiCNtDyyfYNt3GrmS0HW0OfEevivWc
s8jup4uxsh9E056wJ93GGKyXUD7us1BeS0siiNABxYSOBu2Tkq2X9fXkBrdAda7mquMREaiBJzGE
TOsjon3q4LIL5t2UBhoqae21rjS54rhOtpMNoHIWPvvlDkU0LBtU07q1EtY0Hwpy8+KpmDaFZ6sg
zdxcZj2+rcoazvHxvKW4jiICNqDLRUcnLhFT6+4ZiCOx1f00XUzw5gQPwMoS8TOmpGEz+e0F5qPH
XkOGwqPeL+IpA6vYmR/ZRORgUhbX3VwuW/y0M7+ZheuOJDjmaPbaBCjrMOc7zeLbGYSEUjdphFLB
mMkFch/tAaAEs5x9XyRM32pjz9bLXCGAPJe9BrTbolLTM8vaDFV8EYXOytGS6yztTxCANIZfmEkG
xEVR5l8SQFRtnLRttkM5MKEjHG1R5c4tJrce44j+ERgWe9j0lSp8T5VLUlGIYCDQjHer0e6bmKTG
LMvuMzz/a8PvbtgoC8Ch2VMxWWfkWeEXUxyyxjq4pFJembFXugDv9IkM0erFRK9RGDZxYCpou7Ph
YChRx4y6A+X2S20aT5XnmztfCUBKlCCzkoR4rYSNXjsO/1UEI4iSXsnqbUD0tix0WvIISz3dTXox
LTolOcnQnpSOddNmoBQGSU4aMsNhhaYyXhEulBPdrJ96cO1rplvv/TxBObKdY6ykLr0SvSRK/tIr
IYzfVdDkdChMgzW8MmJEjaOEM3ow2KdIiWn6phqpG4G7mihtBiW5mTwg/YLSJ1FyHJbaiHoQ6ER2
PK2mWJbHDPXOhIonU3KeTAl74D3i9Tb5tsIQeXWU/AfJ47y2UQSFlqmkQYiECtRCCUT/lSRlZuMB
4FlwHs7bHHVR7ZE4iNooHIJtoeRHlNcO2XWRTyLywPK7zfzNqARLDknzV9BDyw01575C1YThgBgC
JXRqKnjKA03YEj3SdJBd95ZUeryRSiJlgD4mfgvee4J8bCfzfL6bh4zPZpjQBCihlZbzuYYGrHEb
FZaZASsQwgNdZ/dnIUqtAMWWFs2ZSsSqNwGJuDWqrlBSQGpgRBDJMulT0q+uny7LTt7mBgPYBL3t
poTHvOgQpSxjs311KuwgmZKTjUpYNgn8GgRm07yl8rJFfQZ4Sl8lSpBWokwDQXlO5PoKjN5lr6Rr
ZgxPyQgGUr3QtSGMffVIpEibABWKi5YPPgs5dajhCtOb1qjqGb/NbGZ1NHOiS56LRKPOjG5IIaP5
U/I6elDEJ1b5nkL4C/G/4d9EjFcrWV4XGflqSIGYKMlej3Yv8EnvNYXer4aKCN8ChR+EDn0Xj3F4
X8mUmPTgyVFyQINH10UfWGftk21Swsv2VH5OhdvsNbANfy2UuNBHZdgpuWGhhIcGCsRZL/WVlkZH
gWeDWPXkLMVvslQIEFsJGHEOvY9es3O74NxTEkewFweW074ytrLDzh+yqT6NuQHFTAkkayAFfKCH
Cu2DnWZvGlqIYUQg7aCOyCtth57vnSXIplHyicYt0QfypwPKChJwz+fwLMOPXSO6KJuEvXX8IqF0
g/JlN4xEo4vQattKtdEg38DORqhZwsejlB1x2ZyNSutBnV5vDOQfyESAASAIieKQv8wB3iMXieqU
nkQpSITSklC5faUC20djsamU2sREdjIr/UmHEMVBkBL4w4Mw+ceVUmUIiFpT2hUzayGS+w8h/QF7
+eqkuxlhBvm9MLnwfIg7ZNzhsvFYsyfRXa00MqVSy2jIZsrIP5+MgG0SgppOg1bpogdgO5JtO6W6
gTC9dsTAZEIpcjCihJtIqXRypdcxa2gaSsFjKC2PpO6EZhNhsaHDzbHvuQh/BgRAUimBwsG7mES8
LZAVIkozoL7A8RbjuYeISCo1ER6WbMk6cBvTFyJ0o5Ax5xcTCZIzhC8ekiRLaZO0QJd8WNUz3sV+
MRpDbHMR9/UZjw9pn2MJAdO7F6XLmhqbUFOvvZ0ZgvAu0n3fJujlzPIqd+psQjMZOaQvWLbQHmRf
FPpyxM9TH9h9DDS30dB7PRy3XpuuJj6dXLcjbWUFTNFDcG/RyvOTQzGwjxkT0DW6Vm9nol5Zr6Pf
ZDSwyhNt2ERWsYL80q2CvngMPMH+2+srWCWhWKdGfGfW+c1gOeOGqfZHFdcPVuTai4zCSwtg1fm2
v5eu9Yxs4XJUccjSVXOFCCcpdVeDsA/kj61wAdpElHKmQpUTnYutUUHLvaE+O2rzzgdQ6kuARsJC
0mmtxtY99aQ1+6Q2K+MbjW78LHz0mb51LlTAM1izF+4WsONkPydkQDdRZB3aTn+fVTz0HCOvnXpv
Z5EcTeCNpMiDBEorgc2bFhqR1Vs9ZDtTBU/bKoK6IovaqtJrAzEdSvl+STb3sOPcPffJr3YRHy5B
eTa7rueJViHXzIsYFavg64b+Fyo64mAysUuDatcXydekIsVWXiRI/WJ7Wgwj5rm6MZGA9ScNZxKp
g+1FZqOAUincDIKWA7HcRaifbAZLKXHdlnHhoDLT5mpVqyjvnkzvhNzyVkZPrdvelVBvoGjoa6/e
jo57w3ZoSd17msgIj0oiH1VouEl6+KxixGPyxHmDdzLSnBVgxGAtVeg4p8JXS8WQZzPpwwXJ5KOK
KG8+w8qz+Tj0xJdXjngse539TXI1DPlzooLOe3DsGcnnKQnokUpCV5Ho/zX0nw292sv8dUN/+y6f
sz+xBaif+t7Qo+MCXm3YFgNdB/cnrfmPht4EFuEQG0F1oWRcv+m4IHlaTJNRVuFYcny2Cb819D6w
OWV8AgIKy8FiCv1vRAvi9zsLRs2W42Bi4rV8ptuOqxr+n3YWeYppgcxd76L3ZdKsYtMkG4pbOc+1
Q5eGa9EijOX2JGYJWc84TIIBs+GsRe8fWhi/y5LYyU0YT7eeVlTbLs7SRS6idEFa4zruytfQGIUA
btlBsCUXvdNWptbdN8QNXJPQMmyd2gmYP03OPh5dpo+GuSzdvj7ahtXBDTDkZnTFCwrUDx1f5g7c
wqk2YpXVXlDVRGN3jW7nyu1j56oqsxSr1YCwOs05Qj0H5bmvpsidz2XgQ73OeFfemGzisNN2Iubp
ihmzIRCP3kSOoI0HCgJbC25+5zRsy8MSPW5rJngMg1xcBAbkiLHLFd7Xz3eu4PYtefk5SvNFjfmJ
V0ERPcO1WTCnr1a+ORxTlxDgQh4oLHZtzZC9zQ0CrszqzAkDdldtb9PCxtcF8YnIS8+oD5BXOZSe
BN1M25ldPkUEVxCiABIOnGCte9pdOTc3fl0D+9e9vU2Vh0aKzb3jP5iV+1rUxalCPoooSx7wOV9i
DLsNezbIA+bXPvE/6tLa651/tJuBwXCjoSDILXdbpsVjPKQHJ4+exrgF5eZrH2PoYaZH9R+l/Vc7
99/L3K32jCEgSOVkjZOXg+w1hfdpsn4+jyKw2knVRBi4iktviu8T6onFkBUoKHJ7XGt4V9cZUoPF
3DQPTk+mjjMuC9LR1kkYYUALIwlburovTD/ZZDryitFzsCbo4y3prUDxDBKhol5v1zjTejUUImLI
6i7LhhR53R3idT13r1bZPvYyecvC3NoEpngrQX6yC5DtIQ8MejzP3MCM6jfOaAZEpxF7nvB13XYE
mULiszK6YAEWqrTMvdb5/jb0shj1bcGDUHgfE95sK2lezFIphoPBXYuY0KbOaT4Q1Tu8W7wGPPvl
ssyTdBMR2O3IwF+4tQ/0A4/IIhhJkeoLOa8CUS1BmtJ1Tf027CG5wYa+MPtgZ9j5pRzzCyfx9poW
bTpjT3cfDEeff7Ox2puyGhiLMc5KMufB9bOLJKdsH0x6ryAet4lA7lBFjCbbRzeVOuPjlrFFXPrr
xmXGUmCvW7Qxc/2kPBpGt2207I6I+n1ShedtVmY7YRDrCXLOSPud1TFTcQdA0vU4XmSpQe6Gnj7J
JjrZDlRbRx/cfVy554afnaCIb1PNbCmguJyKJGEw4rBiYLDiIWQXEUq86NzoonORlU+pGMnqIKBi
4YjgznLtByw3yEsTa8tN56/GWNDeSdzadY6wUoYu5V7XbkML2KLvzONSm7LrwQke5oD3V5UsuWfG
b3PLz4VZOrItSlcoKvbBXL9XuWmtjVlFbqHN0Rmxk32BgtPn17rs288B21U7mIzqo24C6NpYq6RH
REp3+IEO7MyKkLdLhmBjSpmXEuSuZ9HT7Ji3Aa3FsqatXlZtqoHRF9e25wOYjTEvmfmVocFKFLP3
4fjdtlXUuir3grXR9Fe17LZBbtz2sjnqvUa0eekdoppSJXCzqxRBy+hG2kEO6V1kt8hbWpz9k7cm
zJ0w+tFgQlVRaDn5kKxTiwTxWZdH0H00UQF8f61OP8I5uMVxChZHGADjIkCPo4zf6hKKcgG/WfeG
eQVvyljmCArOBkKndy3+H8wm4WKu5qsJOdFa61sIPX54M5rRujPgFwblme9n/cYq6wPTasktQHxg
VWXT1hwchrJOYW9wZjxmtc54QH8m0IBpmSGJtBl6JqDZHWb2c0jp/CiCfau3NjUURCz+Z1FZ7+Im
aHfE2jISm0lNsIGFTq54nUV5tEPO7JG0H4cMMUyT7y3203asnucxXLsRT2czdUvLFE8FnBcQjwkJ
gYD/En3ntpymYbuxer4EKH44ucsFqGJvZSd5ipjKvS07vKyW/Z60HJSR6RRr9odQH2FfM8s9kpBS
L8bGv6iJ7t4a1nCf8r2liSGDyR2oPXvA7jxoV7Xdg413Z0ifU/jM3Vmvi0hiu5dTgebLdC48T/OQ
NrOjq5v6MUrEjZ136RKqz51w26c4key7FDO+IYNhkbolnp1RbGbDezEDD44DBgHe30sdQx7NveKt
YQkEP4+6F3cSsT8JbY4yOnDnwd/kzwY1lifGG10aC1Nyj9Z+1r2hZCbN1a3eTEmCbOw3y0ALEigp
AZ21A+ghnOTGL4gyCkcIUgElq3rKqiWpaicJPRKXF0JBoAV478PdxPQPTs6LqdGQDlp+MxU4fyIt
/pq45auiOJH/mG2DAAZiPPEZBP2NsEuxZHDvHmaN9rmVXMW5ylykNIIthSfZ0URz4c/WKpyyjwS7
FMlILI+ZFOOIDc91M8pwDpcfnkZoHZr5J9pysdaqDHFG7jwnEqJgGWqPOui+q9rLj5zmjR8cLaTD
knZOW6bkdO2B+iEtLr7pjOtID0NSbCriqvRPMfJ/dfRnHS3+to4mHOSlSN/aP4o21M/9qKTNL2r1
ZaJ1/CyJqVR/VNLWF7wQ6Dls3bSQCFPk/k+0gcbXYlsF1QtwMwAWA6nF/1ZjFNlglKm+f1uo/ZtK
+pfFmAU02QOeLNCHGOBnflmMtd00VG5hD5edfgjBuUzs8rc/NRd/Iv39piH+vcBIB75q4d0hBw+t
1S9IQcQTZhwnTXlpDihtMX7aDdo6aRq5eSl1rHJKCTomV3MROd5Jcjs91qFrJFcexLal1LPRgPVR
Lpux2FdyPI+CdE0o0nqOyE9CmbCcpvQyIJctLbT91Pg7rSpuWh2Z4STFeq7c6zFqdsEET1Rm4yaP
WrGyreoAFv4CONcLdrNnLQhWXVnu4zR+RIfAHCiSFyGxVp6R7l0J6F6M9UfdqVIzGlYpjoVtVFnd
UkPlt2jtYVf1DCc6CO0ujCazWfLfewwdfa/7lK+42w/VmL+njS85/Yh7m7L3AMgmruOyXRT66C2q
pt6QTHJOMt2w8nJILPXAXVe6+ovispoWfEth5UTvhYfAMO7qEXW/EbUPScbSX07Da+NYh8mq800V
lzicx2HlV64JuQYyQVDUN3VEV+FaRbsOJ/NIfQmztDGvUjyJeFy6Ry02IbCgdMC/ky08o/2I3Yqx
PbliBPsWaMStMy4Ha10S87pIkyreOTqkPYbO4XKMu3wdlTAfBJlUC4LdHkRWsHaj2KB/urY5QyGQ
prd4hMnr9JInDcT0whjKPSCG+JS2AyFWWnJotIhzXFRIT7zwPGxfzbjY+B1DxWwwltZYMdojXy+Y
e+QFFVdjEYpD7XX1qu3d7ezar2VEqTJMZB+41qvXoPKA7PDhZcxdQsubVziBb8PK+bAicM8UmVHF
dkk08U4aACwEFJ8Cv2JvNC8ijvVlbbFPRBS+T6OEVRIorshz6CxMtJ5W0w5rZAj+kkvvsvO1uz7s
mqWWtgSeyFotPW+4bqoVBtBumQcmBU5dU/m4UCz4/HwvxmGqsophxYx+/5CA+0dU6nxwg321BYQ1
OaBONUcgf9xEyTHPQPeHZJItOVfuwqm6yS27PMjEBLDuuitZSOq0cfzaxynfnqHq1h6KoYXrzk+g
6VAq49/piWC0xOBs+lq/S8KUAReRpqMGfKYPWxYf2kereU+aN5EHm8ilawrW2WNQ+JieyYsiINKc
wNp9alwHq66CXclvw0csX93a4TAvuI35lvtpcpfopr+3Z0iljjncVpWBB6V8z5p8jyk6JRW4fBNt
xT6T7QZGb9YwyUDaUx3FD5bVrlInwI7s3Of+etxOcorPs4JBp6Zd113sK6cRgN1VkBGd1BNHrLnU
j7VfFssm5a5kF7AMTYrFwjxaJFXhxcLp7TbLkmeTvq88NYX7KD37PdIp5DnWcCvPYpMRyNbL6Qw7
27M2dmdDizbM7p7CjgKJM+e6zsWaPN7rQpj7QWjX08QYQAvvYVs/NdD+CqGf+QOgate7nDLK2abd
zGxGA396Y8oH7tuNV0nTJusMFVpCTq7b1ETjsR7CuX1yid6pqwSx1TyvWK8Pi8Jnvht7Gg2gdjG1
9X0W+ck6MJr3poVOXY0PWvNud3wTe8fdmFZMZmRA1g94t2DAxEaenKat9X5y792wH7dVVRvLOCQW
2fbKtjwlpvmYFRaRu3O1dnuQJ8s0VnGCSWGVoDrs2dy2U1EvvRQ9l2dm9/TKm7odHochvW8q7UnP
avNK7+z5kguv2tRp9VwZYi9r820MvItqnk5+6oerPGP9gSpPrChJaKniNNpkc0YeY+ZNxzCTN1EY
vrCm1pZDAta6ZsKI2axF2pyzoAT295QbfIqDvI2iImZawdCnbx47Uczsp6DHB0quTn5Hs+gj7p6l
n3AGdFpKrdSV84XWYpR1YnZ900RLD4af+WttNQ+B36BIat1sx9Psraq0XVlO3+960Q5bVhrF0syK
aQvzhAI5ZTATtqx62d3YENZ9scPLdgm96xqsippqbuNeGdS04DUqEB/MjrjFavdYi/EmBOmyx0ry
WCicsUV78w299zr+X/iOVxevQpH/7Lj5/YRMSZt1FPyeunEReNrKpPnzhAy0eYlJp+ouC49sYEHg
yK3Du7ZxC8b/JHH+vfBTvRYTQthCAieTi2pHuS5/msY1Dc25Cla8pB8MkvsK5aL2Dyrlf3oJ9ec/
vQTxKGk6dOlwWfJgAicCL//VKm/+vlT50xfxfXTnVGyC8efvX6SRwNbifBguzfq2Ks5H7aT1+79/
iT9+LMoG9ttLKIX9T/+PltVfKKxxuLS8mwzlIQQmqpDcfY6nf3glRrS/yLp//0rqnfz0Sqns7cxp
+c9UNCciR+NgHLqMifu6zzClz9+G6X/5ffujNUCQJMLEGFqMSYChejs/vRyspnGuWzHggHwUaEBd
5zaUZ1P2+Pn7+08iLhiW//XMfp+V73X0nP5Jr8HPfe81wI/BauZZFzYV2udo/nuvIZwvkBXIRjE8
hqmQuH70GiYNimm6OsU/P+iCefzRa5jAn1V0CxZEuoRP7+K/6DWQ9f3uKwnAB2E4zEo0KcCBeAp+
OSfgYNT5qFUTkSxIwzYC3ah7LF0Mex/6PAM5RmKmt9zuJjKeeVc4SQKmOBhjTjDHSq4DpU/18mDY
1aJ3JyUjfg1B8DENDJ5xB94Q4JpdTgkOsWp2jA2INmZRlt4cC8f5kKXHjZshtIWjHm3QTJj091G9
bh0Gv6yl7fOZBddey1NwNth/8mk5OkjtYmKUTqUu0DmxM0bwlJyRMJ2vQGZNm9qmmm2hDi9SnHdL
jH5IuJAbnqx+OpDoce4VbXBGfGyySTSfVRzmcrKDDSddYCubNqMP88VkCLasqPEI/XDLVTVyI4Ih
Y1JmaU+Qui5KZ8wPruxugQTrFDssVlngloSKTNqpjp3XIeeirwpXbOFBfsxx/JUtLbBsqxfZfggI
dSyteLpDnBCgJpLHkAzHfSfj9zacjSfKXoRbSAk3vZNWK7dJyc3FPUyiip/7jPYDsXYGXTtY5aif
21HebiNMgIsQutl57bpXXhrGN3RC+0FOt1oJoamwcmure8WV66AywbhIKqNugQUt6OLmhIW5pQ94
1KdEOxeyU+rnWtpPfRmikNPN5KwNJsGYNNMmyuS5hhVxIfnsegPR5HES1OyQPOCUVOQU6APQaV8j
+dDzUU+DTdVsxi+TcasZXRrtjT6ZD3Wf+xdRP5UVxGmPTbbPLyG48Flqs1Rmt9ALPzk3mNmKMJtv
QHOKcfXf6fVtUsJY429Or3z6E3Ci4Gd+nFw2mHkGJC64sV8ExGiLcU/rBqZn0yWPikPjN2uL5YCZ
cB1A8+ym1CryNwGxy+ISehhTDUYs/5YbwQDnp8sUGzb8aVO9B4N3gU/ql8vUlGkpwt5tT1niwEEv
0mg1Fhm95BXGSUXdi74x+CywYhD5kj4ZsK60hljjeZjyAaV+RAxz5UXVBKEGWbTN9m6wa3shRqfq
KK9TaW4xKSNVXlhWGhGUqQVE5a20wC9ygreRx1+6XefX+crVy946G217aEYoTlXcPLtzW88zTHoS
aNByjDUifRpxWW/jpvSPstLlPhxrB0vMYN1VBWNwj1VO1RWJvbCSmNFCNfRnxENOG1S/+clNk+6a
bNLhRc9tm/CPWIYvvVWPm5RIu/PISQpa2SI4xZptbXotlqhTBX42D8/NlXCNYI++aDgmOemAIu7b
VY3CldQcnAqjYdTPXgQyIW0Rtiwl8qg9SdvtrTFUCGFkbr96c+pve5kOTACweBMuzlLGMq+9WU9x
YiABTjsI/wjUGqTCbYuu1NGnU63X8SbB1M5EX6DHgIqOv8dEtczH1O6qQCcSVZR4un1fGl/NuYTT
Pc/QzBOjM14SesSzjpXafgLd8GjajbmiUESmVtK4zKSeX3Rd8sqvNN9XviNuBIEt6TLGy3+0BjR8
ZPfI00QMLwNe4n3sqGm2vp/W63j2vdNc0SlkVU5HMkHzlkAoXtG/pOf2EDT3XUaYQIP9ApRrZBzZ
UKesnmSToFpl48qiybliIKBtOPuaS4g75QpJSnGGqg3QeZMc2ODMeHw1b1PZ0/gxWDLdeWUWHsYi
snhvsasdo8DRD1nU4F0vJiSybcsRXk1evi1DZLPQ3ufFaNdUcLPhB4e01px7xhoPJNsb5waExwve
frDRCJU54lpBPVfX+sU0S3zKZN7uwwhBVKG1Me12OV3L2htWQOSq9RR14zrs52DTVE0T/ney/g9O
+7d14XXUv6Ntfnv/Y2Go1Bc/jlcKQ2ovg0g/SA8uddmPutD9Apna8OjbOMgxXfx2ulpfdGbS6D/I
3aBCVM6N76crJaOhjIZUlDiB/6Waw/9jWUjV6nh4QxyH3OFfk3OkoQjjnWkc66KqSvdcgyKtRmMU
buTl+VacINUyzIQU8EB0aNO6GXfhJNwFCAibHAk9vegK7v0hG7W9befmsUu0aTUYTX6WAY68mUzA
YN1olecMf4vXNmyHg5ENyQ0zsPrMKmI/X7aj+x4YETESFuncIq5ZBrpQb77i39V9vHBI9/A4LSw/
3SaGGFYzooCXvnfEh2ZGM2RtJ+oQgqHczSdmwrTnSLYcpmZGbCxsPc6WkXSTyyzrglsDZut190nA
1WPg4802/WTjkvqAh77+Bs3lNggZp1qd3nfGov+G150+WbvM21m71jACiM9QOF4AsJB5HaeM15kd
VfGdFs82FWGfwPEdFSl7MXzyfW2F+k2offeWwv9iqzNWXB6LupwOXltWK5HbSPP72rfP+tKsn4M4
wq2HuI6hrE8SNCk9PUj0KcpNczsxNd1P0iFIBLfX9SwaXApGbwOyduPXNk7loXQCcz7acdXuPe6/
/nom+3Qz1TZCyqXkizkcM2IOc237X631rdZif/LXtdYZqOo/HgaCn/lxGPDIC+i+cKDRpX4WVN9P
A0P/AguGJCBcVwpFTYX2vdayqcLUmkjAdlWSsJ9OA+uLQsDi/QLd8nke/Bttl6u2Qb9ti5B2+Uys
BDspw8H/zxf594MEV5QhqSpzewJT3MCBi+pw4UkjXbmV5W/d3ntG4TRsqtKGp0HmvKUdssbrMAe4
ClAcGYpVLD+5xUCZSlJHupjIzlJTbOOS4ftwmUM8Ls0kukX1a/hsomaAyM3c0MZIIMkE011NOdHt
pR5QwYVM6Mhez1XRZ1iz3LSf91dljzWpgYGWxSZ6MzdtnkgXixnSjulsICA2kdREzcbADS0OuJsJ
+Qxn2h32RkHMAF3lgPpmCMKL5xz1aOusapUZqiVTtR6qQGz7xBHrAZ72Vk8cwIfYJMUu8SdnXpuN
SiSdDH8eCXZGwkwfHWgIbK1Sw3FRzs6xmxpZrEqjcG4ixyE0BM0/kmaVgypKmbQ3iZnW/tqxyvSC
E0Ia2wqNz3oKm+JxHiyfoIYqTGJkArJw99irTH393yP6+YjCZPqbR/T4Xr++v/3xIVU/9f0h5UnE
1azjVVT37OeT+OMhFV+4yGl8ADYLTlZ6ke8PKU+2KQyeRl9lZfEU/XZlw2W2aKB8OiU2seqp/xej
HGDOvz6lHMyOYeHsVA+qpbSjP4/7TM0YWNokyYXQrbY+YBIrdaRtmaWBGUtcdHKfMvOuiiuaAeRl
RgaCLtuN+70exNtcAXkHYxGjV5dKuF6iYGe6XJNcBBvtMVCMTqfNE7islrEEygfAE1uQHWeIKQ07
XUa4KfHoXYxa2i9813gOXHREdp2claBBcwfkjgssFCfNlpn7vOm88R6Q8puDXx3OB/8Atf8uHO1N
33nFzmr8K2aYsAhqY53FGVnWilRaDm0CuCm7pPXAAUaYq6IDXXgATmFSKcMFzNNQ0U/H2tv1TslN
mRAE4RhPjEpGTBXkSfSKnloUVb/2FVG1NLN07dcu8bFFAAy1ko9dQvh3bmOHCxlhUTboYoOKJV10
mkkI6eC0ckdiYaijDxMurgMX+dWYaumOOA6oLwRNbhsirs70Kg+v3dYdkSdybhYuc95mpEiKPKRR
aNfEiewLVtGWcUmlwhSpYeHlVG67Zd/WbGSREbrYZ7y0EXvsQ6p2R6oLDFJZQyjqBeohNpHkQoo6
v0LZap55ZY11MPMnoqEakVfRwXIJINsTDEVovYHwjpVTIl5EZVqrrkNVVMXxUfbdogsYyLVMzmRO
Kgw7kI1uZ1dW7MM5HFH0AzxM3mF5P1RNcl7oQJ4xZG1TGK5LrqJj7WtkoLOallm0ssv0epT5oTTq
J0NLzuMhIkXGyG5NzHVrjGnIKitsde4JOD9UWtlSimH0ioy1afYmya62jOejsIkX02nekzKGWGqR
+ptMct9leF7YfuYYKwxvnc3h6zyCZwp0tKGlH2SbIqvLhU3Q8dKq7VdcwLXSeiWUXi35snJcd6JV
uR53LINHAtxyexX1fYx0gWStILBODCFxW+k2GNwQIpruhWCM+Zsx/64U/tqdSgwBumKf21AoESL3
bEOjfqWP+sm1ueGSGpvbVCbNQdfbMwd+zrK1YexGaaMt9Mz46oykjQZTccOKn1DbiaFZkDcuZn2E
oJCCFz4ijkXjuu9ZEL6lhYeSTIOjG0/sJbX4srPzge+AsRZ65+IFmLJ1Aeufm3HwNx5ffV1YbPf0
ug1Xgd1ijtYQKEIwjt0iOeRNW9z+d398K/H+n73zWo7c2LLor8wPQAGbAB6nAJSvom+aFwTbwXuP
r58FSi2xqRYZinnVy72K6CBRRAGZec7Ze206We8c8aI8aP6+fSj80I/t4yURXifTXVEEntOlafbn
9iGDiqGj9XueyDLj+rF7iN9QzC9hI/BixFLX/bV7cPpbdiFTZbJgMkb4V8xBk23ozRGPgQPVI88T
sBhZX46Ar2ZFiq8tKYPAzcNZ0uo7bOlphgFmyhQ3DKUOYTv00OjUWIlGvpEYoaUO6ZUsaQ5Z9mmG
V484V6c1ZYjkkyWaapcVNWuU2WsGbtWGAxl5t/tBI/mQkX4xJ1cFxvuSLUMo4dM4qC2KBu08CfSv
+uLWB++Bc7oKPxcmYE518fQzLwlXk0w+HXZ/NDyJQ3wuRSUogFDxH+gAoUIs5BjfY/oCDUjSAn7A
QhLo2YagCoT8VuEUIFHyky5NgsSSeBvpkb+ETw6e3EIk9PO+/KzG81OAFYDopMx3lDJfs2YPTpHF
2yqWtlGEOGKs88+yVsd0wcg/wqV2FwXSF/UEBuVU6Ik7aia3JyWc0k/9W6WyrrJC9mx02fF8pbTi
bujRrLOq6DhU7dN/L+LLi7jAvP75Rfwd3LR6rj8//ypnY/nhVy8kbhl9GcrZf8T/vHohOd/JNpM7
Vaf4ejWaM35jpM4xDxPaj7b4qxYMTRMEghrnOt7Vf3We481+80IuFd/SBaLFbQvtzQuphYoE+jbT
z2H2NDfncXx8dVsu/y5GACb1tyuAAIEZRyYIuXV/w392Ppp/3xi7czcbnqqW36dSP6fYR2g1fm9r
xa3h7rqZrtGAkPIdyaTbuoq9zqSHKyRRbAp8crlZb6VGvo27cE138auU4jFR7WNn1CNxocmwmsP0
QulBPpKl2lYoorIGZPqChg+4iejwEXavtWKaCZKTjd24xEAPBhAZbUmGpp1kuvoSF12pSywZdmZP
bxjX1UusdLwETNuJ/qULiZxul/BpnfTUg7IoOALFuoBYL3mpVT+Qb0RJqHKSKnV9gBLEoEtTCbdW
UEKupjoHYxo9JeRfMy2lEU0g9hDAuEjJyCb5dKZVXt36pGdrKLWtENU709EnaQnYRjvwPUuki3Yk
ersBrb/udMsNyvbGRKcvkdKtgcVMSO3Oy27fLjHeBnneY2Lt4yXgO5hrGKvJvjLNZ1/phxXBGtvA
ltwuiZ7bJSS8MXUUmtaWid6FRIo4mz54evWxIV0cxyTta+OoL7HjtdqfUo6Ggjzyuqy2nIVR+un2
p3iJLAeSfImbgIxz0syhoj6WFavuJMV7XdJv2yX4XF0i0LVZv4mWUPRwiUfvyEmflsB0Y4lO98lQ
R5/X4MqCUEq6+gCnle8iXDGB7Nek4u0RHTg2iex6oYEQMM6iQX5FYnsS6dfhEuHekeVu6v0pHOpd
MQ0MQWIMr5BAM9Lf03440lq4EUssPN2qezywnxTy4oXfrQvy463ZWEtj/QR4o1zVrb2RtOax4I9X
p2zcSNP8NSGLfjJxOJFNryXjsRxia9VVAX27KeeXvkTZm/4qINuet4Doj/gx8JfjZNPGa6nreGyq
71MRb60Fr6KVTx3pCpIk3zQEKuDfit1+tB3ZSD/PiX+VZNDCwik4UpgnEDjwf+qSeRvOeHPw4TtB
FMQc9rLPtsIpUoKLTcKXaZysRUIaRQKeUomw3hA3sa0/dGVDqLrKETMtl7cnHm5kJT5IHY5ntRoq
16jgk0qKcT1aEpj+CTUWyagYEYTWeHZa4mBnP/OGRpyDFn9dZIhPMrsMwlPf+lzbLeZoejzYrFDg
837Xvc8eOUn0U+Koj85jHTF9KAVtXm4FIssycGopSUCTFaGrk2XDmEeSvXbWm1Xe+pBeLdz2q6yT
D6VghhZOKtP3+tASnljqZbPLafOuFA3NraJWzZbqOvYwZx0F87tVk5T5RpkJchhn25tHlfQCPS29
ApQVlVuUXpg0k9HrS83VjJHF8X2k/vP0qfa1ZzOptqxvpxhPuWOTHeROqXT0E5WYyxQ6TCKM0WnT
IrshsUbiVUXUf98l+fXQU9BQYl/oESpfNXVw6LvMOju3KPODWZksiAof2hyu8g4lbWmigCgIt0FV
id/Oi6kTyrk9prG0CQ1SR1L5Pql7R0O0Pdh+Cs0sedJj31g10RLg44uD0sogSvTI/FwOxFvOuMTg
8VRDdpso2bBGFQfltIgcbYZJElpzgpg6qk+zlZw1taTH1FwplWA+h44OInC+mgfDZcnbqYrfeYEm
6l069XdCKm8RVDiM77vUbeou9KYBgAVrTrcfZFFAT11YPJH0HUIZwdVdjfCR2sWtAX9cFDSg6CQn
Jgq7OOw3uY7thqUfBF/FFRjd3+ZkZjOBk+19N9XxnkDsc05nE0eFZu0IXwtXemHeGlUBskCPl0JU
Rag66b4PaK26FT4Oz9yYFwwtBryO6GGjCxQsLuO6ZVJGiw8/dzFVZMzwg6u6N7qHGiPNeiRAER4G
Nhx2pbDF6p3zFQ/lWrOy2p2y4lH0JfnVEUbPyeua4kKezH1STXdyGHs9nPdVUYZ3Xare4oC0D+M0
9mRTxLVb+ClJpTQlV6UsP6LWgREz6tVDJ8AllQUVO46Z5NqMOjLEfe1BHe32xleNcW11xKPFnfwR
nfvnAQxsSE7jYgmghRFJuMaiAHp9HlezDLlOEOfndmmxjPPOEMPVUDfr908BL/q5v1q7P65DBAPU
L2qQtwzwrjVnJqNhfs7S9NQI9Y5V6dLKsieWS+YTk80XMKXbfizXqZVsGzWEnKMilskPrFRHg3jv
2E6uQr+7FpXsaZiwOrsly8X/VnSC/gSvgD5bZyEHz+9/9F/eIUoiUyE1gkEynbrXd8jIuiJq7SQ/
DxmWnul2meaExfH9i9hvJHt4MIjNgI6+jOjwSrzUTa/qoqYjJApcQn8ug7ABcq3vtIKFQfYR2sZ9
T2yD1D9IeF2vcptnkDiWwRp0AohIW/c1FDxxhvJy7q66ULNvcnalrgAHIDON0ouBrZxCY2UUwTmS
ov3og6QcVN4bkQ2gkhZipKGkzwmgHiUNos084N9rFOGF6N69pNW+SIQTLl1vh1WJyothgVNU2iaG
SL5iK+JoE4pdNavfIh0aMxKHbsGhjWZ6miA3okCfJHLZhvgkh2W2mkdyfAIFZ2Vox6arRMEnv1Oy
22ow2D+U4GhkpbFuRNlu4XDgqGOLU+iWTLGZeKWsXiA4w1mIW471Pj368nNH5i9hCqyLj5aEHsoc
lO0U64+pVodeXmLcLQVgcLIqZp2jx8hr5iLLL9xRyrZ1i8cqU8Y947bnhLTjL/DRN1AIMxcD6kkt
MJ5pTbWOtMZedep4nQmRnu2OPB9cnIfKbH4vqv5RUan88nlYiK08DhbGLPWNptLXpCLn3xiFKOqz
ZjeZO5d9ehYSwmbW06egMZKF0ugoArZRlGKQ1dITdwX5fZgwiAuaE6n1q2FWT0ZhPWh6Hq6bzKiI
pZOhfBlqB6mNBhywD8uTC518YjZ1F3oXmPxa4jzCQiRjeSYtuLqhL4XcJGwKdoOuWTEshDIBpiqb
v9SFeLYhxjq9goG0ztQ7oU6cnZlRaLhtML1XTm1ICZYW8RBbAkma+lWY42JQYBmwU8BJ461vx0cT
S19VaDfQj3hCgE9N6g0WxFMShzeoJ64z096IqX2woH9A2qPGRT7DWZDuatMN8D8NBCZaLLnMbtg5
hPQs8Uw4pa09Kpr0oIR9hf8D7jeOPwDq0riSxgKbRr2R5XhH2LWnFuaK3QiTdCs7ljUcTHJSBqVH
T4P2GODerbYkZlrjriH1VBvkLxVj0twkOmvic6LaQ/5zQcL60czFeih0MFARrvjcdFQ7ukpKKdlN
1uwVzeSJlKy8kgMN5FzqEl7GXrKvhqr9DkVzidSSHR3sLSKNxEGK6Krgk2j5HEWjbSKt4ltCq+bR
OnWG5YQK/fUoKWDplOG+KNol5O4S7zFMuIIgNemQsYuHQ7C1lBSlXbMmHiW3dzq0tcXekfrDmkAI
L6+zErV8Fbsp0yrUSoc5xj5tY8sZFBDsjcyiO6sKIE9rZQzWJWiXbZC3h2CojrnF2LnFQXyRlkMJ
8c3c68FwKEHt0e82+W7KSHEGGbNNOZykhiohhcOo0Usk84CwbFjcngl2b7DOmLUE7Dd965v9fSkT
6pbJJ2Hgnxl9/RiHA/p+3yfnWu1NpzGwjJuxn2+GfnZLzg3bYqL5Chl+W/ecQsxikSUTmwp4T/lg
a/vVyv3qTdXejEPU0J5iu0y6s2Df75sTxDBn7Jfs3IukPilULO9vFYve7KedlJ3i9fXoGbzej9Qw
zKkuWBmK4ptifu3HayKK8uBh0LfvX2hRefztSsx3dBUKCFkkL9DnV3vS0LR9FRNpfZ6VKfBwVuGq
99VbowmKXVgQ8JeM/QHjLDoECNMnRvzGCq6CRDEBO2bg9zqNIn3XZetqzDVr1WvdJyy2F4Vs3qQc
36h6MKGpC15mdHPilLI2esqxKEho7q6DDmCOEYbtBvPNwYix7Gik2ioyijrf3+StZt7bqn1TzsSO
aca+09pdpKmHOZh2RmlfDElwqNm2iWs7JGrOyyThXLacsVTus7KmN+7vBgzJcYoBrzUysjbJk0uH
4LEa7fpeDXyiDBst+OCu/txveYFxI6f+66Yu07VXNxW6bh7VeJ/P1vgUzp8n6/eo7n/cOj76/W82
DllKOSMHyXSOrJsytklhvvvgsXj/qRBvnr9MZHiX1WA6G+plpGPobj05nJz3L/LzjPHHXaLvzJFU
MWhJ/3yXRrMZABTyV9gqQXRf2iHjTHIXjeYH34b68zO+SA5QdJrgD2h+cTRV3lxoIo5zCOZSPXOM
+cKm5t6ma9+VvH4VOferfHW/E05//HwdOeGn0XtOvekzb3Sz/SheQV36bO+81i8f9NVzYaMvR2fI
MtKuGew4sjfedJvsCtu6ZztpvVY23Oe14tQreRV6tluSAX3Ov7x/241ffYrXT+cbsWvqN6kFpH06
P4w71QNnvbYvzdVFQ0qHu7k3nKNws419BnGzzW+M7S1gwM24Zd1bzZuCAZJL68y1XenYbfNNcxGu
QiAW7qdi1Z1lh+Synb0rDmj477L1zfsffRlR/O0Gvv7obyoZSW2itJQinssVg7l1861cl7eKi0bc
9d3Qjbx8ne2LzeWXo9ftGBePTrxHnb6Pz4HD5uOB0vjqO5/e/1Tqz83PHw/yn6+7eLM7YFLra3Il
p3O4Q23izFuwAbe5vEqYCq/ECjyCM63SjXWutuoTjTTv/esvj+/bpwrzxp/v0ZvVhqVGmtBijmd5
LjxzGA6zlMDVxHz8/nWWVeW967xZdazI0vp+TqczZ+pVP3yRx+0gPk+aV5ETIpXr96/266/6z7/q
bTEpQc3VjCruQDegEvCvy+Dq/3eBNzWfNlqpELDLzolxUGP6gLbpvn+FD76YFynUq9ddykorNyde
tAIbapasS/Vh7qwPvpWP7tObxa1R0ibuSbQhaI5vBSWCPcbO/+/vePOAdcXcdHmTTeehH51IIJIf
iX29fP8iHzxd5ptVSfiBNNGcYzdgqKbbiOzT9kLTOsfE/R4PKpEIfwDi/nEb/eX3Y2CKQvSmMUR9
c0mLkZpfRm131sF6IivXQpp8m/f/rF9+Pa+u8ealSQM4elWoj2cj1unfX2XZB12Fjy7wZkkko3fE
QF/1Z5lFu1GJbkw/eMJe9sf3XvxlQ3n1HIcRQx8/5TmmNlhVDizBbXKiRHD2aNy94AJ7w+H9u7ak
lry71ix/9atLKvT/sFeE7FEPNIZzVlUsTatqNTwrx3nXry5nksfYug0PEvDKupJW16237OqXj9Wl
tqdqD1exh7Bhmzvh5qOP98uN/PWS+/bJiepBhpzUnpWLZSOXVgh89V2uOKtko7v3+WpPnvXhu/yZ
4qy+mw7gCj5YvRbx2Lt36M333kuNCCui9M6tSzK4iwlUFSv7kLrX9lkctU3nPqprf5XTsV3XG8JI
HemDFfqjj/BWyolvXtLRWrZn6QB/zqWzGX811oprHrpv47b0sqO5wcf9PXjUHJBfF4Ebf/vgOfn1
1vvXLvHmOUl6LdNh9mMMWY9rXH2raDnV7RLntt+hRYMLvZrPYDDv5TVJzutyY16C4HM7L9wNq/Dp
j4Sjf1xRFhH+37+Vv173t7o5S4JUTancnStP34iNSN1xPa/nY3RQVl9Ic1kj7dmVW5p6x9Ex7zzQ
t3xF7SZZ30RkMaWbPw4H/xlqFd65fx7dH4vmf/43D76l35pfKGn40T8H92gq6VjrDK9Z7n+KtsCZ
ZuNXM5jqC0ybi5/th5RG/w2wzuJpQJBiAe7l5fsxuFdfhNQCaSeRBnjT/lXo0s87FA1OZNcLXIfy
hfagKb/Z3GPLbKwht+Nzl3kz3EQ/3OjV/asbc/n7Ov6aJAAW4KeH9ver4NlluMUZ1iKt4+fFtiJP
B020EZ/bIo5St7DkHMUYicGOr6mJF2sNQL5JVQgPtXKnK8PYSWf/0MP4vZbL8CqNrI1qhNFxkOXO
lRXJcBQL+hbje4qcgFcNdWjXh6eot7dlpxzlebhqJvVUzcVhrLULNOB7OU6gUPQLyUqu7LU5pZB0
OrqEkWp/JVhxAFRCcz5uyeok7fZ7RKea4AnBkZ7cOtsmpwfNpCnBWScdQ+wHaeYYPkDvbKWGcaRN
M2Ls5oKZa5vjRFb1Tz4Dk42ZGtqTmhHOIWF930RyEtIS76oy9ZgbJfTZFDgSFikSzNGBwe8YPrb4
iTXmEFMzjRsTnj0DUysMV61WatanWa0EBCE13dTSLIyNUgwwNxyUndDLSO/J2slfyaMhXZBXKp34
/aXbIGdMFhBJgaDVKnQSjzqg7XjYCD8wrWirpXqy77CIWZdcr9GejCkwm4M6FUTUB5N2TTaPMV6G
CrlNVTDZB7sW5h5YTfCIy0e/701gZVY6YXxt807foeI1iEpUjWHeWmHvC0ceGvuuKEg8EqjMPYkW
squWY8hYjXZdFdBy6VWjpyXemV7LPT/Cdm+eG/KFxgn67zRa6squop0ENcbjzIXiigH8NeShfSxP
aGILxb7GNkfeYkzEhDXZWC3LDDtjort9wb5RRfdWBm6Pr64HuhrNXg2V1G0QyiCHHaO9mBlBmu00
b2hBKk5uo6xsmCExG6qajdD67aDnMHJGtbliYKF4lpSdojw99XVDaVhHV3ph7Kywo14U6baI8sQN
NPmysYcbxp/9HeQU6zu4plVDxqUYRvG9iDrXyBo38SvlVpbICRMtM/Ui8WwpWycWM6vRClbMMb42
TfuNauzbFE+fEHa5tdbvbbQkLCDY1OeNPsqnyepdzW63GC2OMzSioO4/y0Z3qjJpnQ6Kp9UMybrp
C2nSpHV98eVOcQeRapvRDPgQRv9oiOhzOgvdEw1a0LYfsOwM81HN1J0WqCdRdu7QJY8lX1/TaqnL
iMHze0G+mbXt5Plx9BsvyCCNVnK10si5WClNLu9igwxsZQpdwzQv+RuvmfEyfonmwKWXBa++l6NT
qAsI3b561aZ5c6KPfQjUkYeZ8Im0Gql4fXCMVjYdbF4imUa7yiBrJCHDKrUj5Md7aUZhbZg3nRpc
5VV5xJoEitA+Zl1/FdrRPlVLT8WS5AXBuFKnhNZdONCVrwtQqrV8TqTkqUiUpzLJ9lGTHIoU4Uun
XM2D4qbA/UHinRBhO1VaTYfZNLd0C2hCElVRMTDpbMO16zKiY0Gu6jzsrWKemGjl+Z6wla/ZRLiX
hC7bnYI0Z1KqJZvKLjdMyaTreZKqDw5QdCj/vvIizHohwcEX4P9/XnnDScmaSaSQu6tEheBoT57Z
T4mbEYMC5pQsMLMneaIIMwgS8zelrJqrqkrkW2u2gBmP43VXx0d59N3ENu/lsd1UofgOUTEAdkgf
PYhJXxETh5+ZZzr1IxIO4PmiYSH0pMJ9bFrtFjz8ZyJzOgeF+CcVioMHD0dzFOiFEESdoYLMtlPK
hE4R3Xecc/Ake+Jdi02TmV+nNLsBi7bviE6Ym3RfderRLIsjwhh70w4TNPAp2qpjaDhEyzqCFMF1
qMebgH0JGG1zrU+d4pSh2MuhzXuNYwZEmoIkuR7vEJHoUFS7imdBvdAjonkrgTttjJJTX87nEHta
MhgbA36TG6XVzs8TpncWERWZhfQFyY0RlMc0IKXCzNWLKB0OaZdt2dcgpZXgVYupWRdxfZHE6TUm
SrpceZ+6IpcQT5Tyyq/rSyaCPYfbhS5bx3f6pINNGKNnmyiaqOdhGnlArXpeJ0m1pHTgvmHSqCuP
cTa5mSYc7JfbgXVIa4qvhW0e5UpGr2ZLX30mi6tSRaDfYXJO0kzZSeWylrXHyBQPqpyuZXkiyEVK
HqdMVZy4mRJPD4MLbcaClxNBstLL2NoS9NFBJdaGA1rS+pQSRbV7/5Dwc5X5ckTAwM+kklxKmFiL
KeV1PRbP9YDnPCMwA5mPFu9rRovvX2GpV34qMjU6tNrSoV0KK2txtL2+giYAhFh2EJxTETMbv4i6
aBuV1/UQ8yRg5xDV2o6996+JkOSDq76pH7oyaUtdk6STPNHrVFXGz/wHu+JDoHP2AKfN+MIyEIxp
u74jHKwfyQJJc6btshoVTl7PD4VkHqNWlx1IdOvUHpTPVqibbibHdwL6p0uj/mCm+qPwk3GvpJro
eJrywutmM/esUkISWcLJMvNp2nWjqX0ucgKK9RndXRRFX1KeVVpsInRZgSe3tYTs9J19g7Jp3rAe
3nVBD305ALY4tV9jlJVsSrdESq5FwwRNNeKtJoeSF8ucUIhKzDfT3MlORWoLhtfFBRuN12qYQxyJ
eiglgcDoABmt6RH1DOqqKaNdrRPBPOi34wy0TU72Rkt4QJ1wWIt8DX98C1hVdMYumeMDHn83n3zV
1VKZeY6fsMrK9z14WZwCGXrHcZPXzPv9mScYW0MboLXA617EmbUqcY+6deqfSoRLgWFulULMjhWM
N3jvOMCV0m3XwoHVNIa3s9lupJIIM6UrnkVQnWo5uwK3DmZmbAlW2OM7llZELG7NHM1aqSh3+RRu
R5+4n77uzujSdJKIjF1d69+sSu4cf1FwGfomKPWjOXxUHb7gNt97xpeD+KuuxqBzxFBnnrb4mF8G
Z2ldHapPpKDvyH4/Em4aOl/UYWXslVP+NHzQUnlRE/z94osyRwBIwYH588XxBFp5YunSqXSNVX5U
nXLdkdNzkO7NtezJdxeSc7zvPTKv+2f+Jz1PR3m1j9b+GYL6Rx2Unzc+FhDedg1JsgGuaLGGv2mZ
T/KQ4W2Iw3MoX5Z0rCL5vu6377/dP69Zf7/GmyEWdrROCsM0ZHP9FtTkyH/Qgvnl32ASrGxaugYe
7c23mY1iluSoYvOWLisS6WuDM+fvK9R/5fvyeP5z+X6BoCL49vfKffmpV5U7aYQqOn7uv/Lik/wh
uadyR2dPRUuJbpAlwaP+o3LXqOnNhb2L7Eah1uWfflTu2m/AEFDCwTF5Saz8VyYYzIs/bS1smVgx
+f1wF2yk8Yr15vGrhDKROCD7GNmU0NPmNLEdpbP9gzRW8iE3mx5SvDx1SDvDfeRPj5Dj6Griq9cW
g700wKDeCqwzvVdpaFfksiq9EX1x4ODmLT5ROXASgvqFZz9f7PvSi5N/WEz9Oke9b8BDfFKaFr+/
0fTsVZAzc2hboLGiuPLalBMaU0e9X1d1bIv9tBTPNlV081JPJ1FJbR0vZfZY198lFmGojpTg8Gb7
VUhVji5k4nRJoS5psb1Ol+IdSRDbJvV82ikXJfV9g/x+pt5XtBm1n83RSzrqBBYhmtiNkU+Mh0A0
Oi9Ng6LpO1cFrgjMCmV4KV3GiBOuS986tEvTgfTpHCRWoxzzBlAlec2JN4k4Bm4gxVSP3cXYNhdS
wqx/CHQ6sDp44KIYPKj8xAClopVKfKFT/T3R2psolW8ojTNETWmbX0pVMp80nWCHqlwHpQgfSF1y
TKLrfGTzp15Pge4X4XezAaSslgRKqwVKcFKH7UnLbiRhDOvSwsljopBz6zrb5NXS7iA5FJMgat3Z
FK6q5OFFTzYcR5sYPbTRrNtRKq4F0n9bLNKbCQGbjSC35LgXRdJJIZkZBgXOv67U7xrANmaYkLwx
oWGVkfGh7M4c+hrEe6ArfjT8bpFGSzaCjRx9mNMgq928ehV/0TD6xbq3SNYEThIOVBw3ft5IOEcM
Mgri+Kyi81tjwlKfOXkQ8Tcl9I1ervXf+recRP95/Ts911FZNM+/WAH5uT9XQPs3TTYhAbJkmTqm
759dgKgeAE3pwDsXIsyPBdAkepetFcnh7+wshnk/FkDzN1ZE3IT0AHWsQuJftS4xpr9ZALmCzUYP
mEajj4pN8c1zgtBfNWc1vMjkWfdPodoaT6Mig6836jwPLguWuP3cVeJJhPrABi3lVULUlTQ81rPZ
fLJDvbix7ciY0Y91A2lUudneN1qHRn1JP/VESMCLHkmfRhXfzRiQR52qauKoo7i0IB6hBL/oekCV
6fSMAORZDX19xWFXNFZGlqC8UdMsulAn9PhKIryxhxEu1XtOmjD+wPXTcSBnLpCn56RCj18NNVHy
vFQcLQknmCjBHWAXS9oWKsPcRCzXobYL6prpOMDkTFzrPYrGSChuolEp+6isrBrxa688V3l1U2rq
U2jFZPH69bDOc1aEQJ1JKo7szKGvR7WsG9exMI+91TyQObJORJ4eQSEfujDpVpWvEvrYmBDF6qBe
ZUNpYSRIrvuqvKv0uTxpNZncBL4qpA6R5FkDEidAE1dQnTYYLDWae2MepEcCz7FIlg9wJnrkXDLy
QLn+Njf15CX2mHpW020ZM29km9yVpHVL04zXE2J1AM4j+m11TdQglL2YewDYYnCC3jK2Uc5/6f3Y
IUIsPuVE3piouy0dXHeZflGS8FYUJOO2bawfCdvdRaV0FZWkxPQG0mY/K3DVAK8KFudjkeL3EeJW
r6ENUhd8FUV+mGl7lpNF20kmIzbPTdI6+yIm/XY85KgQW3noUUbnmzRCB0pyExZ/pce9k3+KRUOV
L5D3K2PkoUG+IXp0cKQBEFcoW2u9Mvtzt0RpMn62wOfouzYR2Sfak6NbJx32kZ46SQvPOdRnYuFI
go2n7q6e4s9+P3CeD2uConR5bdbWPabyB9Nn366V5zRj0R6XjyH319IEy8ufL9KEUORIXdv+JQ9r
AVyyO6Z2cjlP4ikSdrbOMaut6zGCXm0nLWeB6dAKHjvFiI+FWriYFvjgknUvmaGE0m2IHCUefUeq
F9x2cjbK7ILs4gPsiMu+sUh76muaEKa+lrTqScfsEhrqXdayyYmC1PpeXHB60chQ6g6STQuqr5if
+c2tFZufCYs91aL7pvrZbdOaO4XI0LhPlJ1MICoWGaI5jILvgWiZr6ky8IrNAabfMe3cMhcX/PHg
F4bwoaoN9io5u1B95ZKya13ZyWdJ8h2rsOUV+xwMTS27XKC6x1wLD2bW5veh4KidTqnK4SlPDxIg
ZHx/E1p2WQjHzLLngcwOr53SK6XxH8hgmhyNEppaXt/a1nxM8/bUKZiAOv1xENlzqymEUXLRQb2K
ywiZLLGEpOs1qbzRNX2rlbA9ySQ4dXQuSH+08jUbnaurC1lPIVvLCDHOQUqIFmZC84JPGHtICtOc
k4260BXshbOgAFzoFvJC8AJhqBYeQ5XKSB8XRkOw0BrKhdswAnCgrlDO4cJ04Ds34AczWzUW4oNY
2A/zQoGoFx5EvJAhWm6BNyy0CGXhRoBeNbVV8IKT6BeyRPsCmaDCxwWwkCekGAbFf9v0i0F4mfy/
s03TsPvyiz2aH3q1Ry+sI5st2kDjv4jxflQphPAxeWTsSHnwhx//j02afBC8InTZDAqVpVT+c4/m
X9ijaUSiV5EtVWYA/S84L4v3+FXTDWUkhuQly08Bcigz43xTwlZFpbdWGIeXVRfjCa2SgZRXw7xQ
1ChkQQmkhTmE133AVwFZXbYZVJm6j5OWuK61JWdKezNgvbO/A37c1uSj+s+05mOUwRBrpQPGZoz6
ShhPcJZofMDLT/Iog9+rh2VPOaSO9CBmY05xb5FzQ6/ezE08cv1EJhfhbmBBJw67nYm2oI6qcGti
TYANGRtENoyMvLZVUNuxk5M3sBLVkNYXgZ7SL+60ieizwJILsUos4cpz20nfjMhufz8N/3dCVSlo
33v0818wX5ef+fPJN3+zNBUqD7Z3e7Gw//Xkg68QUFtl4mcFJHaDM+iP4yk02KWo5534kxT71/EU
jiA9YNBl8I/kfzdZ12zevJ+ffcjX0BIVsnaEKXOK/vl42sx0Uzujw9mq5fMR2qeMoqiwwkp3pRGQ
5RL51NGNl6i2U8LPfbM4TXLWdB7lMzVua8jpiYhGOWtXgGcEfnHKN0nHxUWIhO0FjC5z/M+DQcjb
0MZdcD90mVSSfhaQ9bJKKLfLXaPXZDDYvSHGqy42iYkIpSJYm0YtOd2Y36tyxySCqPN2OWA2Td8C
/WN+UEc1psxAatZ+h2M+h66YC0bWGZPNSb7OJwg1ioJXtiACDdfhIa/8ozKMn5CKLp4tDldlSRRy
ueNA4pNtCN8lEnFE9C481nQ04bpY5Fl3/sxMZJzvMeZckpPdrdJAI+Guwdoz5gszEKA14eP7Op++
qgv8Jur6h3Y0NCxjKWBs2XDJVLhsinxaD6JnHELNTKx51TqaOY9u0iKSofsO2dQAl2vJqsc8dHKZ
6lWYRPqvkj4eUinCnlz7NcnXytdxJP6jo3ZGKbDFuZQ6oKmPsaVS3df1J0QDUOGq4YjhrnP6CKLN
jONI4jBWmR2iqMR3MokkbR9k7U4PsXSMenGO1eK6qgbHN8sDRmonJCsA5xSiIhO6aZd+1qeSkzPO
oVaTyZVM4ILokgPReq/7mVeXllgxEYfe1I60JNLi/9g7r+XIjazrvsr/ApiASbjbQnlH7/oGQXaT
8N4kgKf/V7amZ6QZzRehe90ppKaaLFYhT5699t7Z1mOlwoBF4YrG+JblSqtDuzai6GVg3A8oEEx2
1owFVnOiWx5n6Dk+DqCmP47DmKLQti8RaQarBUaVRMyHPpo25MmOaM4kxZXpfVSO58SmUB076cpx
lmQT2nNOLoEW7tssjAN98m9JHXI3XmN9VrnR7Q0unrj+q6ttkPMdU6dRWtkT9/3nIm0wtTY3WlzX
AbO6uRI5z1YvT7dpXjzTR48lOmZwtd70Glsdhdq7UeYPU2YfyqhhFxTGpD15SH0zUCpvdDM+oUMa
KN6Lvo+lfCk5D9ep2b9MoXw2RPcoOvxpUbvsyti/STubuhBvJez+g860Er5DymBwMzLTMzInPdq+
rX54CNMloyzSGEA0okPUiWjf9M394FCB40XfGpvbzZTMkN+0ouGvFkYg9OFpTHSHmx5wReXER02r
jiSkvpfcyVZ61GBCqIwH5Klt0opHesQJA6hupZ6ogAnrQbi6t/Zoq+Lc0a5RLC6JW2sBMYPbKclf
EuGWu9KY34tomfbZHNH1TP0RZhQ/KDXmRVLBKoxe5VvKXojXB+Ajnxbv5Ouzhx1S30X60qrc5W0h
KQgPzVxswI8c4jGoYO/mG8MQny21D6uqba7cwJ6qJoyPbWHRlmVMn1ni36c4wlcOeftY2Sb2eMv8
JUcuTOOInB1GpgiAjLgjdkqvd9Gwwnx4QJbircOWdZUZWsUbIJmDZq7sQFTxPoumdyfuQdScstxM
js8U3FwMTXxm/WStqykHcMwgdO3e3bIO/2qlOEVVsp+X6q10I5NLekNdOgRJPRknvW3GrTdp49oc
uB1PpjhEPStFApq5g5vpxUDXJ2x4N/fpCSTqLm0J18/TQ9w3D2HcfJGL0a1L2Z7nKrxR9vSa8WVl
zUzQehw5UC8899qEJC+KXzduNchdmlUvZdXPgSuJeM27kNZJ2W4kjAOJdvLZ73qyyiqNz3RZ8z9P
srfJ6i0+jhNJ04OOkmxVUNUmtMdMA6f8lO2M+dSGUihncYqd4m2aeUUNf3jIZW9CW1TPLUJcYHXa
s0lJYxz19mrOXH21WPZB76rvrIy/La1OJj1vBi5Fj3XLLwyBiDqvvCfBMSqbbVO4t2Oa4ccP6UCP
pAb4NF6xWd7zowJ5xDdLIcSWrjO0slEzV0vunl3mWmpa9QPR30lABtt0ENJ+MOvwNXYR2Ns8+Sxk
J4kPkNwf5VKqWpsnrJZLgGMTN+lv4eJ/XxB+uyCghP/vKen6Ob7/+LMtHl/1a05SUZDM8abOPu4n
aPjvOYkbAoH0uqPwRBXI+Ls5yf8H4gZGcrQ8HT5QLd9+zUk+/z+bsd73iLM3TPuv3BCIG/rPMQlX
IOAhdkSHCzTfxR/HJPT+2rLDZL5JyltrdvvADGeeiL3/NC2IlfoMv+Cb5ZlA93vqxD7mOtcCl/Nu
JeMcOT3puMr3/rHL/BsAu4rMOeeDVu9LPvjPy9I8WbL8GoZo22iOytl339ho15TzOmbAu3Onm8WZ
cCAZjOHok9ljXaVO43SOdrtqnOzZIZ4Ra62DChw2AG00bVam/Upuy3M0Lx9aiGYQZv5eNsNTlvS3
rS+wzZG+qvveA04GkLcpuoZjf6wkQf+z1p0MLx1YjI3bYqr4mZd1ChRHX8dh8LBqOX6IKlJuy1h7
GeqEOk97BQt6zQFOFsqn1+yh6EkqO8QHOaw5gbaNR3UrJSDE+xggIMlNlxkO1uxmflgIHUrGENym
7ih7nlgqpRadU47g+lVi0fY1+61YoIMcaj7IDNTzI8ke/rqRRsegGgKG0ZFFWe06J1IUMUIQ0e8v
ZOLzaJ/rarO09jOP3SYjPKYVD747RHQrD3bFdEf/Sbc8GVIuacDKrkEpano93uQp+6HrNEcpF784
ygmgrhYVN03fiTNusm7e6fm0X+TokI2B7JNGeMR0gWCyEHAd2saTcLngFa74rFP7kuuY6sd++bYQ
qcRulTcOKQ9PfVl+S/JPsnWOjcgr9mXdYR4GmFAXtSct95Wpa5s4q1Xaynjx9aoIstk6kYr5Mgvn
WNR0Mhb2/E6pePMkiu4+KsS9wXJN1vLA5XI3pSlaix0ysibhHi89GFljneYhM1a+VruHWaMxdym8
Z21sPW6Q2lb65k5PRoZtjmgvlIfFx4avV7VDhmXJ8lYDWWvqXULcN320hJGa4dYaiDIg1R9EaHhe
8vwlt82vyuI1C9PmlZ4UYMnsiSCht6hobyckHHLnPEa45bVryRHSOWuR5twgF8WmnPpjMcCKkufw
OtIqXRrNez8nG0IlTow0ZCnUb04i+3VoASlkesmNuM0fB9E+xZ09ruqBOB3dxRM70T9FGTExUG8N
SyjQQufSEpG6xLS3WOGLMWsTzb9zUAzDN9uL7k2mFNcobyxh30w1weiNs5jM1gz+jVOel2y8mla0
zcofGYPbMEJYdTLcVYnUV34uGNLs+TZxbLIuQc98SET+7g7fE1UWxKa+F2FY0lKW9YHeCWiYiOTz
cX50lh4LQZW7hIK6j6gDJ3iMt8WLL7k/3VnUwYGjUajdoDoW+r7wPd5GtL2PgNFDFz7mpF9tiF3+
xGZT84EyHnkbv7o9CwUjrK594tx1vvXDX2aqGjR5W4UElxadQcVkZAKMhqS/5E7s41duDWTOKadn
yL/P2Pmu0FYBy0ZYlWI22NM7/scU9u9Z3tyGBmkZoWuH607q3Crmxt+0qX2qvU7cLpZHhFQVE6SK
jPlQl8b3cLbMVZQtT8iSZ2uJPozSOA75MO/Jsdc2fWZeY2JqYW7ibovEV27Z9n5WtbtsBvahbJ5p
VCz6xl/VPfGFFK7AydkURoaiPS+Ge6KS5JgMlPLF/X0bUe2sS+vgLOKKV+NUFfyUSdasaS7WV/ai
CUBHTBlxQdu1K9Z/H/m/HfnobP/7yL/N379/tn+yFOSr/nDkM/g5jmP/s5Xh90tBmm7YCLIwBCIA
ePi1GkHtM4j1ZJdCjjBm+98pd2prArwPUGOqyGiAh7+wFWSH9t9nPmkKHgk1rJiR7/4DXRhnOYpe
uJIYujGjkBEKfpzv3WocNxQ83hRGk35HHS8pMrUemZU5PKjRfvBc+aXF+tZ0bMGkSzJJ5DUbtvTe
qnCjfANH/NFGmRFMOcFf4HT3lC1EHMRVuJPUeHsF15S4dj8GK3lwxuUlLnonMHPmc7MWwQQGu6c/
62jVNF8Vrhr8/XK75OYDf9da9pRHtEzF3C1muGFvSANqEy5UZT8JckFXZRb9SDuKXNrwThfTTRx1
exq1avUAujNjXd8KHK6rFLh1MunnZLvlrFyTbtWCzDCeE8T0NYHFqvTALJdwxhh7IyYc2O+rbsNs
4W0G4n43VhbuHC77pLUU8A61eCQojZRkfz1Y1oakI2KeWzuh73Y+LEYqgr6MPQIMl2fb/4HqtW7N
6UKxzdEd+1eI7SSoU/hQYRFzOMzMN85Iso49zZ+jXh1Gw926Fo2Jvh4/RwaXKd+jJdzLkYpYEUXJ
sk9N90Ym7tUVSJpV+1xp9scwACVWGWn0JPxZbtB0xgGE986kSwOBzbn3eIXCBJxbq9qtzPNrK/x7
J9E/smmBxqdrjtILwup8Vz4VpnhLPf8KFiGDfizFFpdHt/In94Tq8ajlVhk4i/6c0Fm7kmV6Wqzw
qZ5oXeOpFLUgu12efwqN7NZRe6yt4TzF033vO1vd0V4HLf3OHoIpiwCWoK3RkhbSiwluaL7ceX7Q
B5bWlAdc+DWdJVFD4CzrUHwZNYlKJj+OKhSp3aoj3j95qAhpdVKv4spPm3BKilFbVt+s0nmzEGJI
qZ3exSB5fxlNs6JDmXzrvjobY/4j5B3ptxYVwaDPRu4cB2emxK7/MWqUxpqxpVIzdhHUBpvDhmWZ
7Nk2jNPapYtohUk7XWvx4K1my1N7s+w57XmRFoa8lc2xvRKFed879caviz2LRrL6u76sj7QhRFdz
qJ6n7g3C2eIz90aIBrFQZJPHETDI0guWAXN8N8vWP4SAxKvK7aYd8dYkTQ9SBENj4IYcYh7/Wv1l
p7L3z5I1E0dTHKbzpi+yZnkaf86ENhYIprUozMQDhcZMWFpkPScirTaCmVInSIqUabGa6CVe+2ru
9FLom9LfsR9jJKW2ct3LNj8mtXA3xUi3XC2tt2q0082iZpE85i1dyt4Bw29JHrKtQEuKdeT504NX
MwFXcXwzxcsPhc0kTeStoZq3OrP0QDwisX4k4JT4bdbserZUIl8nIUgrSoJF914SJvPYs0OSGeOt
0xMXwuze6oT4MsvnybCt1fy2MOVXdQczxdwv4hLqmJtAJqhSmC0D6B9bScqcxp3B5+7QkqwURKH8
6BzxXFXWa6G7JKhz30hzi7G4IacTLfnZjtXCdSniAM7iKtWFpVRXlyzOzzp3Gf6tyWJKWXR6+61W
Fx6z0TatlX3N3ITq1H2um+QCk/XRdmRz6oV743B3coZKh9ePrZXF2A8fHmmBHhof+pTek5525pfH
JSwli7vP3KdiROFfcqsPCO+JNw3oK6SiWHPFQ0Xh+K96PkwzHz2XwaCLzUOnJoWEkYGlK2OzcdQZ
JUh/P2dqtgC96wGHHfxYY+FT3lgQXO+S7S4Iq6QQtv/U6PPYVn5DktHgJyyW9Wup5plRTTYmI84S
he/aXJxjRh9NzUDGNH/X1FQ0E6MftFLu607QHz6zonGj5russA9pLY2LDC1P9HGf2El+TyB+g8jU
i8epJCq2NJ9cc6AGuea3kbvhlrFeX3shZJQjD25Rh7h8BpqrOR3qnp0LYWpdkfNe64oB4ion9rU9
troBYw9LVW4gCbttF/adjyMMZfvvGOXfSqyUqvm/J6LHocJTUf4Jzqm+7tdMhCZkAJTBMRFCrpTN
361BdOQiZh/yyRXlpMziv2YiT5WbYsE0TAdtVS07/rUG+e+yjL8wEzk/g5B+h0/bui7YxMD5msBM
2BT+YyYyCP0utKoobhb0fgvdX4yVvZrY7C4lBfYIOGKVQglQt5JtbbgBnFu7BI4gHrRDmVNjDV9Q
Gqg68Aayq98z+AOiWIIMHmFajHMEn7DE3LczhSzEbvTWwTAQgJVtHKgGVsHkIvwEHRTysBgSdUVh
EHkWd3iuQCMqGInhN1iiuPUUPuErkGJxtaCFrHA0e8sm8TaeqptaoRe1n74SfMYDFyqD2z/w5YDL
h3Sx5GZwKhgbIA57inleKrAjUYiHPXvnHubDgv2w5ulzFsulE/4HqTKPcsaLmDLRVVAjDoXiqwqO
BPHhmCuwxI/tJ6wW66Xqv8nY2XYKQWnpN1xJ37sV0Cl5UdGemF1TmW5rgs4QeQBZUjfXVkarvfgK
cqmWeq1DvcTtwsUdDsZSQExpM+8UCpKBDylAHPxvk1vc0jt2FvR/XOvmTq+sbQFnM7vGDTmZ28Ga
7mdWBawIEm6dxrtlxEGSa6+jCF8cxCJnGAaUOWAeQuk/EAufaoX5FAr4Mab0OisEqIEFwn81rTuF
BzXigCkUXqhX6JClIKIImihUWFFhAxjNw/hAx/2Gf062iYKQemikgW8j5BAJMgUqCVnt7ERpfB4B
jPp8ahTUlKbMeKkCnSqFPM2wT4lHzo4Mf4iGbEY6gB5F5dxrKJ2B1jtnXwFUZOPFQaygqqSN7zUo
K2oYxdlW4NXUpI9eWH73dHZWYXFXQGilZfsc+TqCAB6YIOKH2tcK6PLZo9HSOEWBC+1lKewrccMg
Z4m0rXFILpBh9pLtWAHtMxNJgpzemQlt+ATQrtdCgWU6hFkFaeYbdX6ObV7tRmFoPzskyolRCJ8x
IJ0Hz7bQD7JyDL++cGF/amDawnrwEHEg86pEw+aPqXBNcC1yJDScjg5xppxyO8DJJfBy9BTflwqg
cxVKpxlAdYXC60oF2vlzyTsT9q6GwfNg8Sxb0rVkL1d9CJnyNPQquD2/9u4HOD5plUipYXhwMw3E
jzf9ioKFLdoNSb8KBDSjjDZ6BQemChPUlvk9shYkEYUQ5ryiq55jph/JLIQyNH7ihgo8ZOG6Sxaz
2MzZPTMgVwmxGsEUKYh670ewxWl8zHJjPUzeLWHiWQDDKAKpWEcL6JF423LVg0GqwzeeR4f854bQ
WYN95GBjyC21+Z3f63yk9HJT1bUAhEB9MxFvzKljJ6ddJkoKNok3lxt0yXdKOPdz3QNiO8XMr4tA
QCAKavjaihtYIx/oZ6m4KaB1hGbkB6yz+X6UtiQH3oH8+y9T6U6zrdLVlRbl5dp9M+ifnVKphFMk
xwrhqkbA6pSSRSzyJ8PCjYvE1aVMfppSvUqlfzkGnLpSxEKkMUZNfttKLWtKfuhMKWgDUppQmlql
1LUoQWcbleKWI72FlG7u8VW/N05S7XwejQKZrrEGLYgR7pY+hu5icLOVpkdz64NMC7mKRHXbIPul
Sv4jGJxw1gdD6YLVT4Wwct+jqKbvLj6aSkOUSk20kRU1ZzECPKsNa1NE21apj1kXvo3IkS2yJCFn
0T7KNQYRFMuCB9xKIGLWSs1skTUHckDXnkWItFSaJwvCD+V4A/gOKkRRHnS7qEFYNZFLZ2TTDPm0
bTyL+MbhRShl1TCxv+pKbV2U7pr8VGBxDkBCosrS7HVou/ShdKzdonTbMDPeZDaphV26tX9KvErs
tdhw+q35PDp3sjsu4atMTiK27kpkYQ95ONUopUAudpRu7CAgm0pJrpWmrKfOp6FUZgO5eUwcPtpK
gdaUFu0qVTpX+nRCEmXlo8tT5jP65t5VSjY67WZB2oa/PMVK606i4QWLNzHnyOBNf8XlANA44CZ3
wYeUWJ4r2dzklkcfVMIKc9nlSlovlci+aO3FV7L7yDC4Zeee4i2wLDZqyPM2Or1Er7fVFbnjCrGs
jCryG4Zhy9zjT/70gJMusuzxVRIhb7svaVXIXUtxQEIO+TJfjVgnJq7j9+zOi7OPvB6TXhhUPL+O
Yb/4N4bVkhW9aMs+7HpxwHd/zdvY80ivnefdMtEEHuMT2HB4pFu/IRDRNi4mJjSeRkcHhy4eLdbI
5LqutVZw8XJrnhAjUZ6i0/bQKVchumiPde7TmvXPcI4+OHJUNu/ErVFbF567NjOdH53vsbOMas0y
8zuGWcJyonhn6imJ6qHF4yFyXmk6oGbIYIkrG24KBtmvpsldZsT+ivZ0inix649ePxoivMfcvdc0
aV6T1r2xaujSZCiMIMv1J15+TnEj/6yn9DhCw2zrZrprO2eXel23Jp4PvWSiL2lmpMeoC4JiNPK1
7LkATvmDLea1k9tPhd/czk3ar5wlO0jhbInqvh35nKy6atoaff3oVuI7D9fb3pdlkMe8BTCG3hta
S5JAbeykgLr1je760xvrLsa+dHpSCdLixiXQAn96PGwSPC6bduL+yXM/p3V04XbudJtiAm4gt7xb
JZX5vnTQO7mUO8JdeTh7zpUh97Vt6zOBxy7XEm1jkJfLFeuNo2U7SvMeleXEJ3cPWs+KR8ZP9dLV
AZEaF2lw1GbGOQn7U5hXL3ZtvMowUxyG+9Kx7qkmdwwoGNZoYuKK7NvRczHrZWBo+WFJjq1oL1MU
bUnTpWst8e5iu+aM1pynoR4vC2VoekkqgEBHyUiD7qz5zC1+2M/t3CMnOJfCQAZzCh6EWrzT7cRZ
w9vus8o8S305Da1l4baka8FZnJdUFsWtRZPyOuo98jRla67HmOx1XKc1QbSYZO2iJOOcKgnaB9p9
x0Jk3erph0u7cOBNw61bE2DrQ5/vsOt056IhB76x8F4rQryKwl2Wh9rOL2TKzBn2fLjsnNj4Rxw6
Rydxix0Gp4PPtKWaC6zUWS2j7/wz/utvcs/6P70lt7xP37v/XlCrr/p1GVOaNI3ogKY/18keN67f
L6gJtqFPGJvITwD112VM6P8QMKsGGjH3m98cef/WpKm5MVGROdJxS0K0/oXLmPUzWerflzHFrTJm
Yu5jQe2wlFVNPL830mKBL0FNZ+PGBrjI9lStEWfhNdmFG1gglu6OR/sLvi2mlj7fych/IQaio+UW
+KOKdpQqIDWz8WnxlW2sqr1zeKtSSHwaoPSdYjpYU7dehr2dam9VFLGDY6kU3RipH12qpPMC4qsp
JDW4gmSdQzQNTSHIrzyFB7RCEXpvULL4JiwNI7fs35aq2DO4kZZtj7cId2QmkjDAf9dPy8jEZFrW
hQhdh71K/lxqA0k4rf6Z1N2XXMwfHibndTVktJCY00PhTWyUJuD1WXtpF4G/bGmQqB0vGBf/Wjrz
fNJEdo//kNO1hByfKBmB7+IPht0XDjHBH+y+t6NB80JlgmMlFFWFwlwXMekjsHLf9ewVGS/uyCeg
bj6xcec4VBqvQ7dvqciSswjsTJ8KjIc4sdc1sC0jhtX770YiiGBOJrog43KM4WbKbA9pqYYjbVj1
Yqo32BIBB3R/2nSmR8bBPGcHyxxbI3ASroRzJPs7LroGP1je3o2Vle54zDUr1jy8VIDtq67F3hc3
KWd0yeRSNM5rtbQmm166/UQreMhUHSYAtfGkSQe3jx/aO8eV8x3vTS7qQ6qvU+LE48qpjtRqodMy
011CepzX0h+6YxyN7m5qMTOW8MTduoGIhuaywp2RDV+mX3lEbTRD0GRhtCeG/GPEmL8iPUGd7HAP
BjXqq6TTqJ7UnU9fY1cwNFISU89bFQbhkOtDF1R2mt96VpRtyGABVNYQeX3uFDuRW9EmGzt7B5D6
WUyGv2OWgptutfzWXaroyCvHNi+U5bunYrfNOdH3oS54bXRQptLEXWrRBEQdkEuAZgGb/VHPJa0V
+ExWnUpR5+HenqRbSYK9B7pq45jVHUmJuxokc8MvT9APYH9BttEYNMdfUF/WTiGunDaEE+xIxObg
9DzxoRewBCghMRXdTP1MsFyMazFu2F0bHGlh6azTEoSSz1x0bFNT38uFvccmJoiEFFzLm7YgsG36
xQZg3nvg6ncV+/c1uFp36sNFb08WC95Wnx5zzYjWBEXiYefmv63y5hknUhToS0jMOl1Nmy7mWB67
Ny1qXvJKheV7Ph7QAoV4LEhkTXUXfGtOn42yuk1pTvk2+wtRNXEUn+fBAz+se4IIhjtaiLjwEc8S
VCVasz84n3E+fsNWu5WRh3fK175k2qtTPHmjyPOYi/x1cqS7A/yiw6Ro1UPEv/BSHIbM/6r4nGrK
n9kX3iOhQLeNQX82RRqrsq2uri6+s+V6GXNtWhvtdNsvrXfw2nZP/uZDt/hPZLuEG71nvdwMLbWj
c0L8QjLvLBN8Iy3ZPXtFeZK4Plsvvo90cFo3YvMw0OdwsvXlnVUHY1pp7pMqPmZueONZZLRPlHLN
iIR8UoDn6M9kw5zk5UqUfvKRejAaTtbTImWNCTFGg8XiwBdHh4XcSpD8D61JHVFHWkahD+XGsZrb
SmoPkCWKvcuSY1QSxzhVeOMz2s35lljAz2wotuz6ScetZHRXUFsNb9Fpd4P68Cx6iAqm/tJe1UCn
YeLvdLjl+zxq67Vndmyr6anYdamDPmVP/q4WBteIFB0NzjrnCePOu2lg0RJ2ibVmohAbf2GOcFr7
C4vyss7EcgAyvIGdOBVWeraHqdhYUjd3Fr2CG0uvyeoTXbKNXVvf5WForAVtoHvTmWyVGcG6PF/I
i0jMnWkpi1zKdxsXfGpNSV9YXjJhw40ryw1PKV3VPUtSqO9sKmj28UipxZAazk5L4WHSAo2xiXDQ
lQU8JY+pf4ar/D3qqNCF/715fnj/3r4Xn2X/J1YF9ZX/GneMf1CITr4eZlrbYpP6h3GHxinl0/nt
v/BV/949EwzIqczh7AjTVlL9r3HH+4fOGITPinwLn3nH+yvjDtaH/9bjCefnu8MyASVoK73+d7kh
VjqWyEGTvJlyTzVGJNiuR2qI6lQhVlMPepR1fC5tMb6xyjjVHR8JygVdRKMkCbgjEtpdesZ9FDkb
zaPBoZipq3D0RDvp/fJuh+ZCrlv/KZ2m27gpRHydhw/sS5wLcUj0ZI5Ww8d1bK7kYGzSKH7uqd2V
XDq2ie8di9484mP4yqb5WcYI1yK7afKWAcnc+wk6PRcwSt0KUl7S3AD3ncklAxfDXOsjZQNKfKau
eJKO9i0btU85xs3aDaH4J8m2DXfqD3r9Imye2rXXyQjAaAcsm0koX58E6ph+TLhtg9Yo7BHjQBbU
MFfPcVHdmU60cSr6a9xZcFgPFJZRyz5Elyg5OLV133TOxcrDz4VlyVzeOkYt19QSU0LlbBeq5IqG
+l4z/B6X9uNoh5x86dccKcQoN++8dp5X3sAJNkbdU6Vx05yHXnWIxPl26rF9ND7P1taZHwoI4HXv
0t/QeXoaWFxdASMGlOxKLLSKkvzQhZhGeCx2a9FH+yzmHlpo5Lgif99T3GOuJ9isVTqjNRuJTcdb
pVmXtkH/5QgfWRsY9ZHtx33VTfQBaZW+G6bugEafEETXJ1uKRuz9EPpz9lxGmhtdzG4pXkDuSX3I
CT3g5RuXYLIYZ8cpYVKxva/OJy4nHm/ivs0C9HEksf6nPNbaS/KD7Zurwa7nPrWnBo1cncNqXedW
zGk1INTN5bZmm30pFjN58qT3zCJl2lOJ9S1LpoJDuk5upEhNSusGkipm79Ev5cEq7F1NvuAup6Bx
35Laow08fgddWhSDLOVulPgfC1E0K5dL+k1XQkPqvJZEFl2meK6ICEqohBFuhQ0kn27LGT7DG2T9
GDXjR2fqzsnNzBHCMP6sDaaFRcw6awHjqtH83SOZT7z0NnUjfj/sW4IY92br5A+N0+Q3Y+WWj5k5
M/UaSRyMon6svH7d9w6y/7BQypLY+8mBGxhCjWPZGqpVX803SO7YcS2aLAtsHxs7MSUWXsPbzglp
lf2sv09hHTSxfIairQOr1GduynW6joTP1DsJ7aBpvvyWpVKuyqUJWfP15Q4rTPY9s+xunw+S4b3x
jplkFTQu4Cg0GqoutgVDgGP77Z20jPAcR5Z38cb52kESsQLUIOOrhE9mMRKiq3vTuqcm8aJ5Cw2U
Roa7msqwzd9s2E82zPo/lVAKZf/figjIPz2PfqeFcv0Gt+YS7ZrEx+B2+8N55AhAL44DH4HA56j4
dR45/1DEN3mCv67Y/zqOHCWtKh+pY+gWxru/FuzwM4r9D7dvqp4MndQmEzSMS/1/IOHdMNv2mHka
veQFUbAwSEnIezJ3SkjVvtpm7kyPq7ACyMI7TiE28wnKnSRNVc59tYYuPiwt228yUNIAXZOto5zD
ddN4cp103Ycspucqnb7VenNhNXsgOsU710Xebug5W4W19RT57a4wMLtFfX4//Swfaqzv5KQEo0uv
YWjpd76OGZq2RACftCUb0f2akAW2qawfCjN9cg3FkmQLVlENvJLV46sYyM5MjHpNA6vcplGN7ajS
tqRSDCtWjDuZaTxZQxixbiiO1D9LiunDivNMsihYh5P4VuejNt9xs/TGbT4ZskBpUsXoAyU7Nfy3
alD3sdqRSuNva4N29VH1rJs8vjDdWJvRpoM9U2XsqpXdL7G2qZ72QU9/9BS3c8Ej6FZ1uVv9NR+f
zI6MTXh8P+DSCjBB+burWuAN6uBT1QtPy425IRCXWIdqPDlh1x0bvfxozJimwjKP6dcCquJIdgph
3jVZROEYE++aLJdHnXLRzGUXgaddV8f1aymqZy54yMfLVJ05/edAc/1N6YL2R7Ql5tW1M7pd0aoc
PPc42eEreyT2mZk1Hyr23UMp9IMBxrOK+bk3rOdNqOAqB79YrIDv58WL+uQ4wp1t8AvJlWeEGqVR
VnETevojVBtQfs260HfckyiSHrpYNslz1qEcbVoKHRDYpHdZzPlO7zCJ6Q7FV5SN8iys9YcI0C9s
WuouCR1uIn+rTeaeEeDOTt1DqOL0xmGP6tStxz567L3iZvLHnTmZbI71MRCkSHaSnIXUHg6iSF9s
t2IjHe8kRxsWPyTutttPQ/RIF925lckDEWSvSQ8mOOExS/O4DpzGJqqHfs4JYXkLZ2Oqgskzcop+
4leeroYh/Uy5yo0t35s2R/aGXEfyJMyQdQg3y8X+ZrYsNEodxmnIL6A191S+1YfZ7qOzpYmHZJAf
pcY+u3tsB0qzgKbvojhd11ybyno5to7xrPupXKdVuuuSdo9TjqszKygSVb8VA92AmsvtrJ85Upsa
IjMiTQKVi3eofPdDo9roxBouzoIVg9kA6srkMKs6bV0ZE3d2+4PoTCzXYfqwRPGNJH64aWnitY3n
vNGNjW7O24aQ0iDJtGuo+7u0KK8D/KTKW/wYQxB4S4ZnP8JoYo35Kc/5Y4Z/kv3Qr2RbHLxoOI99
eeJPLptpsiwsEXaPvClzc2skeL0AnsriPtYJCSNMMnpLE5OBBgW4tfUv6K99loxvpP5C+4+b2eNb
sLxvvVdeigFPJ8Via/wTQd9b+zaqX2dXbVjUCIoocfbM4d4zGhqpJuj7trVek6E9yK6lV3YMsRCL
OyuNDq5r3ZlcoYN5GS/2KNkX2OUuLLnUk0G7jzN3l3jZS2pm50jvntyy1vG16/d9rHKX80vMzTTT
h5f/z955LMdxpVv3VTp6noyTPjPi9j+oLF8oVMESxCQDhEnvT9qnvyvJpgRSFPtXRA/uQLNWS0AV
ypzzmb3XTjLjpo54L7KyezYyvmqihqSt0Qxk7S4YUb2CSd2mGjBBV7vmQ7IvWsrZsIZh4ROCZ7Np
bTHlZlq1RPefrrtGgIHqAXtA/6PTZVeh7OCabkVtrGVd7bKp3/Yd6r4puSCdFMLEdCW7BLZVVpGl
XR+Gko+sQwGWNemdL/LHBMmIUZk7CUmxMco9czVA2eF910Q3JjhKwOMpoxQfnUy4szvnc0KUtZoB
OZ6yYudrGPpkvs8njW+Y2h/DIjkAe30cUv0GiTCeWhx3alEJL2ZpbnTROi/Lk5kVh8h23v6uTb7W
JoijftUr5/9YRq/Bz1plfvBbq6xaH4TD5W9qYlanz76zb5sB1aZqwZ8PdYqxPDSJ30sT/QMz+7lo
+b1q+dYqax+oc3QdTh582b9am/yMumfomu7gY2MXAVF9bqXftcrs6sImTKV+ZGPHoIyQYEmmYmuZ
yT6LICRhKusmmymzIUptWJKzN920aK6JreX0xIH/lIS5p0tiTkT1iPRIVc84rdgGxx0+kEXT5e4p
K+S0D/Q2jXaVHLVbMAiKuVMbUSsL11XkKfN1f5+MliBeLkli9SayMccQWzelzbPL5rU/1npZm1cU
NZsOqNMrFhFm/HnUctkbSNc3InZU9sNO1F3LapQ7gwBjOowJCeXKn7GBk2EjRLKrUBy0GStYV1WM
1zjvw1U4uORxVrVctWKMDqYcISz57P7B4PvuU9tgtmY04CNJtQ3Odbht7TnUzCfgt492EjzHFmcw
gJLMKy3ztZTZqwW9nd46q4wXWMseEQGeVgX9Lp+EuZaJ0j72OPEWnSYYOPQJSGeGrkw6OdU/qgrt
hZv0Pmtoq9s2eq7tQsUPLwCEoehXa6TpVTvsprKsNoYJqrCmfUHORcqi6TBkZtaH0ByHAG9uubRg
zUG29ZeOzA5O6xJ869f2kaJ02iUG0woSA6jT3JDVbZUt6kBjFD46MXxBwHo2yPfScV/hUCkbp5u2
qcqRCjpxg7aCHCuCmtA+IyRpjOHBCIGdJP0EPRqQf6G6w6KVpICHdX+Z6AMmppD20U1nKJRpm1iL
Su0kgiS5gW2mX5NOkL/Gwqj3WRXlHzGio3eOqpd87OKveNe/J3wGzc8vTy359A8vfaqf/rjRnH/0
27k1W2k5uGiBTI6F2SHz27mlafwrWhlooJwZ2kzt/dZS2R/YVlq6gBTyZRNKp/Pt3LI+cNLpmmux
A53hr39pxId958cRnzM3QoJZoQn0x/iCDn53btlqoCJiMYuT5oDDRPk+u1/HkeoGd6A2BCqRusk6
pY7Os1xDIZCHnzJq7Iy70OGKLqi97bYC46+cJoU1gYGEi3V7cZHOBXsc1fcjFbzjliikm3lupcgV
qPlbq/ZPMUPARfml+C9i+2pAYREs6ikuxSqF/4g6yewF2h5xOYVRR1lgdJvQD9Gumg49n5AIJ1WX
+TtdnhqMS9UJVpNfUKYLs9i2Vp8tFZIaBtwxCBdZVqCzJql2poV0nbjrVAlLYlz1Gnmu0jXIwhVs
IszafLb4O71y1n1WLk4btgMYN4aefWUeP7vMHlejj9m/RbuI8ivcAbvzd2kZE2eRDasiV8QG3Wd6
ME2lvwAvRPfUZeSEAnLnbADAmkriFoP4xPTOM+eNSj9RA1ntbR1VrHCS6g6wy6ms6EWow8kwwIqg
V35LF5q3y1whMrg3ROWhLqFJqNpjWcYlJtUiXU8d+fO1uTdzDbRGd+2yxyAxFu39RHC1rVesi5Po
pVP1Y5BPlygBUbXZhs5moH5IJX1Pi+4ODOtFCyWQ1Ry4VsIjERhy8BQJEK+miHWcgDFSMM3axdK6
SvyRCF7s/UuYa6vKyJx1rxTPlYZfSRMN3k32o5WyKUR2kaFBVNP2oOsIP4hRQmfKZ8Zvm3MVWXLh
JLw0AhnVynCZBOXgbeJ2U1X60TbDZC3dQvGqLi44wIlELpVNHSvnZCia48Sly7sX1V7rWNeapR1d
Qs1X9Uh8nJEZ5CQn4B505IaL1JDNKk6EjdTGXzVBczu4Q7ju4vwYGP7jWHXjOlWcTdDo1tKU4t6o
uJUR1i5VJNVjJS2CsYMr1owX6kB+djBcVo37Uls9XXzX8Bo21i6oIiSllnkh2+YUkVWtXBWFnU6v
45AmW5BxXE7lPYvcisV4d2iiyTjmbVLuY+l+KhJKcrN+ccqRKxUw6xSsA/aZZdPvXamsa6GRQhFe
RkWxH2KURwWSpTxJliR4M8L0235n+ebbZCktIt5eNzZRS94x27VuutGs6RhUNbyHNOrXTA4hBekW
j2tsypSBgz016JVDtqX6uTY/New+F1nr3uW4r9KY7FsNZEwmzV2PNyQop3M7aVu/A1kymu0Vhx2G
OLnUNBOnSxTw6av8s97IC/DI5M048lC00bWt2vOK4GbCkcWCjAVfiEdloZG9wtsF1sQNVH0NcTZa
6+TjAZ0Ft5JCMNK00IHAwipWafnk5KUaMwDSjEVGOiCUjwfbyN+KWrxkDupVoL/3E0WWqSbzCrE0
kIXRmYia0A07Lj87rULPl5ASNGDZGYU4ZwXjE3zQ6omV3Ks+2cNKTP1r2+AszKzhGh1CudPz7lEt
snVliIcxso8Y39YuJH70onxfHKMxWAQGH/MBUi8bg3XpjJvOL5airM9ulB4EYwlkWp1nVv5ljGN4
CYNlC63I3VPU3Tmtv+SROw/G6a0qTG0TmjjJpkotmVDEw6pStOPA1+BsF+61OdL/pwb2ppR0aBt1
voboEz0ZlhfTlkv+VnSESWN4blQ9hRXmKglLbWGl6Up1irfAfY5wZzdSv054TbgHVE8LAPfJ1Dmz
ZVkD8udd7BJjUfqzh3JCH9938SasKhu8fkr6kVReyHNaOQ5OH9MExGwGlyFd5sJqo+5gKGq+4g0d
tyYZ9wNZJ2pWEkNTREzYnXzrDsBEWiilu6HAsa1gssJvT70/E1cfmalEO45jAjAME8HssFbC6kaL
MDwi1PaC0GpBFMyuwKB5TrQQkAFCMEojxGNVRYQfww9NK29ac7gwRBMzEK82LQppMykv+6JMd6Xa
nwI5XIuxWCm+Pq5NJj1F5W4VVelvw2ls132rvSYuM/rGthGt29jK5unR313g1y6Q5eYv66l/rIGv
P0fN8886QX74t4qKsomCyjGEaePbmSuWb52gpn9QaQ4ps0ATIwh71wmCHyYXzYBe+NtPfauoMOyA
NTQdknD+Ot/tjytTHOuGRbk3/1I0Nt/3gSbZE07s19Npkh8rByMEDcW7F+YnGOz5N/w+BSeyYDYE
OcJm9+tqPMQPnSZLFascSl09NYOCwxAhdYSu5qXrtr9+nO//kj8+Ds34+462QA9a1ZGJ1m0mJtYX
vf3y6weYTVK//Et+mOcHaJW0NuQv0QaCzYw7G6kKWyFXObltt0IE6DXdp7LdttFZ4ilRo9c4XAfB
WSuuZH4TMBGVFX6fYIWbhEPhqo1veg7gAU/Ir5/pPF345TPlg/X+tcD24GMtnV8LfeUj2qrKjy2h
QoVqnPq5uKImisY3GxRSxf90rOjrqfCn+Y7zTv8PTwBnvGkJ3n4TaM/3T4AYEVV2wh5PdHAQhlW3
Ti8SFLEoWkpsOJ4bs9XdxQ48vKGBB91fqzgn0dwUMC2FMnk1kBUuhVZ0axmIfc+Gsd6kGXRnfd/7
gi2+psTq3aBn8UZPXGBoPnaiPI5XtVXvSqbxWletVTkyoh434XTqrGiVBdhOK2UBAG1To8DPtLM/
xZABHxrs4hRVTeAcdZmC6rKWHZB2rS92NCLQWhCoxCW5YreA3yqc4CwzqpoXUfVatQUmNQvmt2P1
0MQsyBUwOH1+UKVxFcfHeMg2Xa4Vd5kJcU6f9FXh3krDWhqUuPEscTGjwFgaUeUshYMCp0jSTyD4
F1kGrt41ffLMAuM/xOHOqtV37xBjJs6dd19844evCxrqJpZDM53ERt/6u+lCftQ3zq4+NQv1Qm6Z
i6zgrXnjWvf29OXEgg6flB317EZsrGO0jr+aPv/8I/Pd8/nj15c13/uPrEFWoZ3NH9ki2RVsV/pl
TZDtuhL/4Tj62Sfz/XH0w4GHcWFKQ0bsJwwy6e3wUgXI8z1EnZb/H74EP/SqX/+k918C2uz3f5LL
+1HrbqSdQlZ8lPw4lOihFj2VPB3KCRLMr7/2PzsB6bChQzmwdJkxfv94GYJc2yYG6dTHZP5Onzvl
/OsH+NkB+P4BfnjtWGTZeRdo2omgr1nA2+MOGf7NSP7TD8J/epAfTll3cKmR2N+e3O4wVXtp3WrW
46//jp9dSe//jh+Ox5G7muAJUzsBZfWGFJGtRdd56YbD13fkvz1tOkbPddEUb/J/5t/8XJRjHQWh
/H/f/2Pz9Z+D12L5JJ+++4dVzoBwvGpf6/H6tWlTfvTr6z3/l/+///IfCMD4Lbdj+fqvfz69ZFHO
ElnW0bPkevn673Yv//rnVyuzThnz6/Lo+ARx5+c/+K40YtZksG20DUfgGn9XGjHv1tCvmiCcUZUJ
joPfh03YzTTboWQRlEHvo2lIZhCIpcC6/XdKIyIeHNJxZuytJn74+jZt31aZNfYnUZzrwFiNIDPe
vSjnr0XQP/I2OxOQKZt//ZO/790ZPB8QusVAFJk+ujlgNT98DlHAJnprt+2pMeJ9ZN8r4uSaV42x
Vf1z37EjXv368TT9j0fE9484P6N34zON/WqEWqg9xWWrLJwxAHE2NoU2W+CK5qqvC2ffSbO8tBLY
EI21tmIk6ZU/+CbwC2mjacutRzpGbWfNXek496fYoSAuOCF2WVT5cw9b0sx2SvLm0tzmNLnF3O3i
SaKzD7C45HMvrM9dcT33x5D+g61By4yRO1qbpq0TLIMh0R+H3IvmHtueu21G6DUis4iZMWxOGnKn
6w643ckeiLoLhZadARVtvg82pKKdN0baY6u/8n2+4b6ib4moPXcMADTH2uUCHQD5j4eCEQHOwrt6
nhl0+WPHCGFglNDNMwUVxCSRdRujdPbhPHUIraJfKyWTCD8cjwW87RtbCrdmXzo2+U2B9HhrUd/E
al5tKytU5NX0peBpsxo7eco9LllmX2I3MLdGIyfMuXrFls+5sFh2KEZ2wdp+NyQsPlz/UhHJJfa5
j0jHUIqja1owa13XWvQMRf0FZr+56k3jOJTGHoLLskvKC+n3K6A1OwyAZwGHJ/erZTSMFygEL+hX
i6WciJINzP7QdOJj1Worw0CakeXTHQDmYIERNrmM2vycJ3LTOszvp2QvCvzuAzlwhALjSagGxplN
h+bJIK+2ie071jss7hURrLWsBADY9pKZjobBJKrGC6IawL45Gsb1F1fpT0boXDctADGVFdQiDOu1
WmZ7P43Oba7c9B1oEnau5HbSnkcu21T5YoesNlQrvtKCfuW2WcvwRV3CwKaKGq+IPgixLiJV641N
X3drwT5CWvCUVLEsiuKGeec58ytIyQPbfZkm3fUwhteWr+5qgClO6TxAXPcG26xvS6FwX0f1W46C
Bd4YSmeUEBMVoiEMD1LNq+iDQ97iDTNUvJW2uyNY0iI9gYQMpccDHZwZ/x4NEgUrM4P3Z+LrJBB6
8A9NU2xrk+XtJAmbUi5d111qbJU5KK5GNB2IVgQGb8NfI4m8N+oGrJOS4Z5A7oJ3f9wmYLJ3dcp8
Bv8n6xplnzTTbVP2iE9TieWwuIk7PBtxx8capSQzCu3JbeMnHGXHokrJf8FY67GFH3Et9IgL/c7Z
fjlm/tu33ua1uER13Hx/y/1fvvQMbqFfXHrhUyN/tl7hp3678VTgZOA7qF9MkN8zqfTdMEDMTi0k
0oJkz3dr4S9hBlDOHLxJs456vgz/PQzAS4ZORLdcx6a15sf/kmGMaMHvbqT5JgKfCjmAW4llLAz5
H+6H+cHLtErPIrVhWhgt3YDR3yMWCzayUk5lyBnMcOuYpBpBOSNZCCDRcTcC2cRJ+cqc9Ag/55Yv
U+qBY8Q2rrvlogkm9B761knbtSV9LKTqFiLDKsuUuYqEVq2rnxpTYmzig0zezqoZmPvZ8XGU7asd
h6ve1VdSAfk3quWxGoxnFOcb8rtBUjQF6KUoa7dxWW9r1z00cbAqNHM9afEKJSloQ7KyLRowm0u1
18IWe60R0RRqTykDCU2Ih1B05tr2CUwqkVBvaoCLHjt8NNdWszcHCY0ZPrzUlK2rx6skjG8goZao
gNkTdOUAsGR2FDnlurdm7CJP7qBjzfMmp8efnKv5QoFR5OrpC/6ocjNqVM9RwIBXGf1bGOhvadkO
S5HDLs6b+JjgsV5GLGSxF5UpRmibHnQoRuTZzgr30z40JWb+Pr1j5K6wNc0ZShZXYR1Wi9xx92qn
BJCX5dHNtduK+TqLsituUoUwVdR+I15tMTk4lTBUKFp+NYRszwzH/RTH6jXke4W5QGEzytQzb7T0
2ymLPkETWPYpk2bUOAieouiC7dwhrsQbbFRrC1gSPU7UjivscAGHoH7VyvBjGPP8g5GEvAmAhWeV
BnuuolyUuW6gvGpfizjZKfA9epKZjKiJGMyqbKUiHkcwGhh98oSLPHxA5n491MbgFU7Jcay3myDA
sFXlcD/lCNG1xyfiQXNymdQmxiYr2hMp7R9N1ed9b1gQqUO1EFn5SW2jCxlHF3XkEsIeqA7Reoyz
DQ0LlNuMGtB7HVykJNBaL3BIuxdVZNq7VCE6I2iiSxEXn6q4ApSQzmjPiORusFdWzxPtO7R0atpt
K1WcNQ3Xv9nPm3tUB0G7a/LyrlW6TdHkKHeKNTJLQJpZhLy/6Vy4Dz17hTRk8Si6h6mKXptOg/M+
bPqoBPSfQyfJLUzzI3/VaJ8LihwvcbsbJ0nXeM+r6VJ2R1+J1qNwd8GQn1QzP2udv03N6aS0lrvs
RmR6qD7QObF0KsKJ9RdrVCvGgKNk+PMtBetnRbFR5PzSPDOJbLa0jN0d110murcwGZLlkOn2Spvv
HD1pPg8xkO3CebPjod0VSgVOsHXdjZqbu1CtzOWE/IxxNgXJwsndYaMQG7EyBx0agB2CGVEcShq0
ngEEnX3hJ/E664yX1pTGmviul0LvHqqpfUZGGq+KBsVWoPfnsWV9iBoBRLy05IrjqNM9s821+qAF
qTxw9sxmz5Jp/1BVGnYtuTNzrmkQtGg17jqROM4mxI2xaQks4LtU5biv7KGekMAHg7pychIVFoR/
687WIMGxXNQ6av5LBHNje+N+zXRxa0U/tEMLYMZElvmAz1TrTokst0XATqKMqY8KIzHWUWQGiwpv
mVoH1w3aWE+ScmwYebuulXrYOIp1MO0BoawDpa1NreeqKBrKLQvxWGw8JAq+1bCDVaCKydrrBR/m
JHcY3qGCZotVPJa+8YRaVVtKhxmUPgGBd0P2MWhXWaL12kIIvI61RFk/JsNxhOE+RG68ZiV5NPL6
SvHbQ+YUj2zFUP7pVEqwJRqW2SzMzNRr9GEfjvgkYP65dvkUJcQxznpmqWE9Y/VP7Lnsb4QWX/qN
e6HE46c01N4mVfBbAvMt6bL7HIKOMu21cQCKZtbYHuvrZF7cixBU4rAc0DCG9lGASli6QzGH0e1C
dHSwsAfLq1C6wdvJLi17hjGabrASinKFnEFb9rY5Uea2xwkOkGvCXOBVKMkzZhPZFIRH6USFYXUo
gQxGNqxngBu5r9zKZDmZwUetRjPkGLG/DJUESnTi9jz4zEiAaqdPrupNWIqWek+8Ru9QyGdD2YPN
7y9KBzeL44CRCVT7FPX5kf0PhpzSP7k5g+6s2QatfLLcHsxPl9yMqVKtpgzvne9ygSC1vPNbfLNt
D5cqLfaxQoiD3U4PbeWGeFGgZSUShwGqMehUhXxtXPeOA3otSiaqWThnquhbPS7ugE5vlMgevC4Q
u6rXAUKU165ZfI646BZIwC4NIQ+GyfcO8qS/8Se1hjBc7wKl40qQfbBAwx4vwiTZuebowNjJPcJC
qk1jRr0XGc0pidozlcg61+R9l6nbMoEwbrQaH8DWGFaJIIMVw1fFnti3N/hKQ89m5be0km6TK4q6
sej5dpIX1EN8diJIJl44ttwT8lEvKotNYjPcpUh8V2PBJciRtVaiKdgovXpIsRp5YHYQXPBNOwSq
drZU6ExKg9pM5iLbTRqWSDhg2DJRHoDD0neGEZ3DNqaxJitGyelaOOQ44Mx+O2UaXwnTOWuIqJbk
rGdLqxieGUB/1M0Ks4z9PBn682CJddlgm06CB2wmFqEm0c7PygdROFvdqG962ho9JuBCGxNPpOFB
q/unALlaa2uvboL+rY2uQA4DHpTiJjfmQxzAGGd96P1ddn9Zxc25R39edn9qP/+k6J5/5l3RjUue
6phd21cJ0u9Ft/oBVh3WEVKIKa9t6t1vYyayl9hVm0gxCVJiO8eo5NsGzvngqjAoXf7VFw/JX9I0
6eIPRTcSZ2RTlN72bL+bgcXvhzKprKVgiyxOMi4eqHdw4Cc6oWBKi34Ju9qVWfTIg3LDvZxT89YF
S2hPNsa+LkxqjpyrIIJpf1HXU0sVl8zqewv3FzEbzlAe60nxyo4YAOk8qzTtSy3rMZexsJ/AP7pg
IGHniCUN5QZEOB9PF0eh3Rt3PfBIIwrz2yoIsKmV5bPVO0ghyrtaxXplZNzoxMk/pzONspi5lDj3
t8NMqgymmefNoHoDuNc4K7p18KmQVvIL/rtXfPinIMFT2OAjjHBY+89+5vR423KxCmaQOKUCe6tC
uWaln55dybQgm8HjqY5d20dpvvQjsFqBQsWV+0AYBqNe1bDLGxjmoVldOjPUvAyTh0jTb2XhlksF
7nmJS4uVWHBXdxC9qmbXUvIgxFC3Psx0McPT45A8F2jquYiPpCuArQkO8eTeqjHVhDkD2GtN3BJA
DeiYN0ESguhhfEboKVGGtgDcG7t5cGAsMJKIVE4b6iNDnJ0Z+x760VVEsCnlVu/0+3EUtTfm5Zuo
y72w8ktnig7dWAQ7PW6uKdkIlTZB3E111ni2lS5iC8ifXaZLe0qoThSlpeJ3NTQOLkHVydYpMD1E
eeOcXK0cNynjuAUEpR3zKBddQf2qVR1Aq8kOrpSWAc4UmQA/u+SyGrW3FCi9taitQixRQhDVENZ4
rXNsoX5iBktpgo7LU1i7QVKcQtRmHHjOCeEUjZsFQTEYizdqbyhSarFva+2yLErmHuimELga0OFa
NGiqqWzioQOuobaPVhneJwlirbp1Pdw2UCI1JGpkRwNshBdJvsV0b0cj/UTxmQCuTYvUeW/kypXq
lG9gHldtOGxaBlJenli1J2QNxx38b2ll+0GaKyPQT6OanAyd5Ys7j9FEEX8UvX9nZtgbgF4XXqjY
d7UMTJ62duGXWgNcD6RhVREJ1ApxnY1yL/poUyXxdRRhlG3TT72oP2MVLJgH0fqOTXfp1EmLh5Ua
vhD50XR4cU1D2XcpUiZLzKI8LKXLPLAvRKU+O9qkLxs5fix1rV10asktM2GCkrAPxqHbJcAcuKfF
ZZ/2n0Nea4ABpe/lVlQtCq180PPy6GLXtJxiHYc6ZEvctwS5ru0aLa+S9hXDrKLwkrg9DGNSeaML
nDsfzRfZm8e+onvPnPii8mvNi8os8SDnbZANPzoxRn9Ysmoy3atKc8XzI3YcFYvbu8d6FsLwhJfB
1PU4WpOjUw1ofSdxTWzA4yjdklxBBI8RFdseQJ+ygwuGg4pAjC6pbgyyBcMyuXas3ESuiOxuYeh+
s/NtfstUh+Y2g5VU+yA2Yx2kU5YRbSQATMG2oQBUmwnMtk2WRcGHeMTlhOrHPsV0BTy9Il2itSSs
IxiuQGcI4jXEM5OJ+O979utOx2DV9uf37E2BgfwnN+38U7/dtNoHzJhcmpgebeOLRPjdeMucEbTW
rAH5Mqj67aZ1PmCTYLqAdniW9c6/8PebVtg6SyA21TBhhKX9FUAAXdl3460vG1l3nrDNlYDu2HNq
6fubFjllWiYiFidNNzHfmVC5GNta7XMdt6vO4EQVmZ9sUU9Q+qruvS87aM5MVZZsJT7LLL2xs95F
IaotWyn5hJXR51YRu6arLnAjBsgWsCpGVQdQuZPrRFcfe3sINgS5NIesqnZVF3j6FJ10qeyy0D02
CUdb3TCmJf/E60gDw6vtbPMIsVavLG2gQbK3Cq9QpnPCle2hf7xGRvGJLkbBtZFfjQmYz6JUbpUQ
IanfsfqFZbAOfAuK2EMajY99IDA0mPF1U8diUVeNp2bmIRNVuopxiY9FoR1FaZxC9JwLoWK/YP/T
5e3BafyX0u0PEQtYjRHOlTEAlAxy/9gbVN6BpnxCZLJisK8+1SPTqT5xllNT30eaeAmY2i36Uq88
RHt3g63Q0eNYKDDBJ4lzHNMgXJHD6/kiOUZT+dTwLV53PuBZvK+ZF2qVucnhsPoDM63aye5GWip2
co+ZxQ2c2NrF4FQbaSTFwuW8WoC/Wztw5SvfPCUaAmqzn7Ztrwp8ZS451oBs54OvA+smHWyeTnyV
Z8zzu3y44JK56BuHNFa/fIhCQOudhuqYmOX7qsFRliTywZz6A9gHbrImeyuc+qipegCoO2BtTFR3
Lq0VUyZCCaW2bXzu7aYKbrW0JoMaeR9djrvvLQKIScl84RK4CfxxA4VpWKHe3I+F9mUL9ToY5WGy
ctZu8iP/3zYvUAIanYN+VIsaHJXyzHwwvXCH7Na6KNSZXWzTufB9WgJdCmkdmzeQ/NvYrjdWRwOG
biZY8x8e1bZalUVLs51AMe+U5kbt6k1sJp+MUUW72gKzcEyGp/iQZVEYBIVnV20c4kFskrUhp9Sb
QFaNoV1yaLuOl0z1sXTTBi6Lj39n1DdaUBwS8qlTl2VNgpHeSPp9HMrYC+vxssZpwl7mICc8iIoT
2eNzS8zCxzCXJLEFLpcBaeX2tVYCVwoWTp0pV6J0q2tANPRTBJCvpS7WiRLC/9L8NzL3Xn3TFcCp
mDWLyt7b+XDfWPVnmVAVlUVxZQfuRgmTK0i6O4dMco9JOunRNrgBG/5nKgjnNeWlqqcGf1y5qmx7
zsuNt4UcjBWg2R7jvz15cddg8QGILuEr6tb4NFjakpvvEYj6SrjjHW90uHBiZTdGykVehZswgWaN
HtwixiOI0yVg4G2cjevEgS01sKEECE1Ah/yoVjWZ4mNAVT6su8wJGK3GFzhykLwmIBkHe9NTtWRl
xhtyL+t4Mw4tAF+CvrA1IvSC95HbyzFrlmHkPmRxTPlUhxdd6arIbyN3PWRWSzImmtVKXDIffW5Y
kgnMn+Ngwxoy3KVejkewF7sesxVJ3FCktL7nvaXQVpCzNfVzW3eneHCWTWzciihgBDQSpJPYZD2Z
8OATvoWCaXkFgGsNC+HGbP3XCmwzbqRsJ90AJ5LdbdWA8YRSsfkkrhxwYgetPsKVaToL/FteaLTH
3s4Pg5LTqCcQ6gLnU6pDQ7Ocuf1h3yA2rt2Sm9R9FFq58xHWWsjMVkmccv4NuQKXsrjWW8JBo6k+
GSKAkhZvYYgtyqi79K3plrHaotLkla+1+7rqiLJiHTe443KaoOla9UpX1B2jt25JFOvEKayvXVMe
RD6tnZzgLndkOF6KGeQNIFRrH/UI43mvmTr57sFZhbhSBsGVOjkXZDJ33jQxkLWmnuo+ASCBvTUp
g3iVKZG70wOzhSc2nPVUIfZ0PGuu8walisFruWwYaza1ozA6rHKvxy03yvIsbeduiNrQy0yT8LXM
dFdDrKUPCZi/ZVB2b3HTHsJB3KdtjtOhuAhdFp5tHV0jeWc+X7+ZAUVzq5aX4TCsq3i6S1RtTk0n
Z4N6ssnNq1rxC3JW3E+KVX8cquGASpEdTpvZnl46nlQZciQBwa/micyNgyFnD4Yx7uigiIIlXg6L
LFir5L5LlT5Zquw/1soke88ZnFUqoh3bD3wafTYtyap5MTq9XYJEhw0OXdydppNaZ/qKciFYBpq6
ZiQbL3ydEBO8tcTIJUewJRyXqAOWYRF9LGLtXJAJws4JJEtB4kbYPIPOX7KYR5s+nhoLz5zG+VXb
mIBzM78bRuW+HIrbNELv3ef6skxp1By0Hl2Cz8+YHDbGJXaRNm6vapYFK5N92NaYzeQWzhjgJCpk
oa/etD9VPmlzo/+7VJbtGwJhtC7k/jBeQHPyg4CrqRDLjK4OHPcmWzyY6+5ceUj4Pffp9ro5Fvto
VXhyG12Ym34Zbot1uDeDbXwMN1/qur/3t8YvB0k3Rfr0s7Du+ad+K3BVvLukFiDbEXylvyOOaB+Q
TzsYai1ctV+CD76Nkhy8uy453qwKBJMe8d0oSejMXtFyG9h+ddTR36Rb/9YPofr60w+Q6nyvKJo/
QTa1NzMrimYL3dIPoyTDyaByt9p4cmRQnzGLZdeAOuyHIjW0/dgnyadRJYHWQZx7xBXi44zowiX7
Ubpst5c3oSjSDekz0QEjq7+yFVmvcvLkVw53R5pSsXYzG8ecKTn4Ovn5DmHXEtU492BRDluF7eOg
QQtpZCi3aqknzxHG902c9z7x1USv1FC3HrMwDPaoZSYITDJeajPFp3Gcks3seO9qlUcm5tPoZ/a+
ndk/svhf9s5juY1kTdu30jH7YpQ3i5mIgaUFSVEUKW4qQFfe+7r6/0mabhpI52jABf6Ig150dEss
AMnM/NxrpO4oFXpAZdb1U1w1XXB78inwqYwJXMS1YBZIKyIppJmq0DfUasyKw1E058PwIceQTgeE
ncxwD/CYVOU//d5zId+1iCtAYMpoSeNjHR2oo4M1k26pZ57iXcvRgE2cVi70PKULV6B+JNfSsja9
Ea+WRjv0faJPDHEOe4bqAKiQM4PqqqPbm+rzFpfNfVNp7QnDn+iwSPDFdrP2fCy5JvOY6NhIBhWt
ASE2wmkJrfhVqDEZbgdWR2ok/1tABj1D9gr0PBqgs8Hq8oPCrw4bNbwpcosiPq5TAWgK5wqi675X
jLUwDffn9MzLWSyhcO2ayn6oS8CS6eb0RrtM6ggn87HJ123mhSd9rT9IET2fQsaMITHQeu+Y3gOO
usDx6hxLMm0S9f1SbeMf6pMlEubbAU0wRJ4K5SxT7R+yV2HJSGcc54dlTx8MvjWmUjnvY5oR4sSt
7mHVxTTRSpOjSlMeDCNrFpXZXbQ+saCiAyX8GaFEJcjce85+mmTLVjOOw945yTt56SsglcbYQ/vU
NekZQkbygtNkDBDBrrEW04U7sjGcGMzy8ki6hMQazxhJo+VCYjs27k2ilrcaZk4zx7fv6I0saXZd
kuJDm8Z7jBKqSpgjIKCwKiKoS0K1v7nTRYWoPBWLuDoco6adcyqQ8TxWqAXwQx6Y2eSOq80spCiP
PVMNDv5zGT939Yluv+42/GTYxbX7hEj9B3Uq3GbeXsW09QUHmHuQudUbKA1XsSqEFwCzyPQh3nT1
ad3j1AdORjTwhT7y216DpmjiBrcdgC/0MP7kKuaIfQrmtmzqdA8QlFLB9XyA0oCTC9NYDfvTvHbJ
S9E+s9zye62ithCqCKeMyKp+x4EzPlXrJLmohHyaJCvk26MLYwLelscVXE8KXVsRdOR5HZN3DFYI
w4+xdy3k2Xx02hwh2JYN5G6REHFzMF+YUhBbU6dxs+86Wm+ljOhbjfpbG/iMLj0M2zohDUc6ni4b
Q9XmHu5js0pRLmmEx/sxOTeqtQjcot+DIgBycMjO9UKAzhRSdLEQpQPNeyPhH7XvIOqDIElwWQgJ
O1+I2aHvD/1WyBIoLMFpoNguimm1s0/yLXJG1ZzUCayXLrecGbIlzj5CQCjCeQQqoGwIy+J/B672
uCmGZeTQZsCGEXW4ZuqgBDw1fHrljY7okifPVa89jErpqM1sfPOUkyxDyVWuM4KASbGbRv6N0eoU
bGgSMEa58oroSkwQ57nvcR17wUWtcxOTgZsTLYXiaXqoCo5tsS+ZyYPm+THi0OahCehyUo8YqThG
iH+XZCB17QLhT40Rq/o4JALlF5nkrvR4uKWLv68J8Ww91+7doToDO9IegzgAKFqjg1h09oopKI1V
d1wZGb/SOu9nyAadRYl2q2rl1dhFd5Kb00z2kaCN+1NsjX0a/4hLKMjgoDavHgBcNqYx6oWAZ5xT
4GOYTici9aYz0Ce0DCwNHW/F/5l747mu64B10OeR+lEC6BrhbcyVNjWRA7dPsUgItVuRmQ4HVo0k
tOV7R3DRxwTvlhIhYaOk+2AZDxK9gKCxdYS+BsoaYWKM5eCJ3MaHMH1KQEfo9qqJcozKWsi9D2DB
lRWIk4YdLAcjIpFQsAyWRmwADKPFTbmEPetFUK+5hAcfl4sAfMU8C50F05iQAnpkkYPKPZCGCrUR
g4K644BPZXYqalrf4jSFHh/oB73t4C8TJfL31HcrfNvBUWcpKDV8/CZw8BIk9LvpqMspuEn3YRjQ
90Xk8yAyjO9l7d6oaVpPQWRPGdOt8IKJsVYwqLy7Bmfu2DyQ7FI/tWocd0BR11NkDU1qE/2ijeiz
u7VxLBOtpw6M2KksGYdl3ASHypAdYdmsHBQZTiigrYmS15Xinkqdt+hg6i50Bgs1xDVSmKQEAU20
9AZ/ZhfxrR8bCzvLOeock1xEezVJbrC8PexFHhBJlj2jblFOfZEluCJfwF3FO8QFBlVF2121hYQS
pmPSnMHSLkaiFJ0oemUuiLVBwdse+DZ5yTDaNFTIVeSixqmgyvTl4LlkMiKnyYv0yBNZziDyHaBd
42ERKtJSF9lQVuTnpuSUi5FECfTvdS4l2pkaIm3J7Qewi7nkFF/qQwl3P09kXCapV2GF3mNFMub4
HONziwRtfErV0qe07T/x8yl+6uT+v46fF/SfH8rPEVT81JsIqiu6Qq/7SexQ8B3/7tYrew7tc8fU
FQWmjGikvxYzwl6Xzj7KRdQ4pvzBXpc5DJQ/xuV0+q0/6tbTlP8UQUXsRnpMJ5ZTF38oh1sVnEkh
OcOpgQ7GQpbidF7Bho6QybPd4giB2N4AoGVIdMJd5mEdE28ZUVRmb4zAxTA88GXjuBcD8jZkitQw
rhWU22k8aNVCVWpnBZ4/20ewNz9XddQzTL2WjhAwM9DMzq4dMTySmCKlsOYBq4/nSQA3zRWjJikX
p4npE/5W7TQVAykvZzQVZB1AdZucuQkA0KRMsBjmxwct98gsgUYhizGXJAZeQHGqA2TyUxudPgZi
AZMxXbEfOiZlGROzXIzOStmUDkIxTvOcmBasGLHJDQ15Vf3miOGbS28Xdk0HgLGZVWJA5zKpg5U5
KcTorvfac5lZXsLY3mG2h7/DDQD3ZSiGfsHYqdOUOaBuICAsGuRjbt8TmHCgEUNDW22PBjFGhEJR
TKWmRi4NbUiHWWMkho4G00eXzMOSihPUVq7DQIjNikFlIEaWnTHcjoG6UoKS/wCOFPhePCXSFPZZ
pdnSsETmnX4ZUzvmAIjzFvATbIU5fp4tVS5H2elw4qmPGtFWLMeH0bZpxVjtUdobGG6WFqGkQskj
bTCQQWmQaGXDw3TInCadql/lCP81En4ShZ7P2141ZtXw4FpciCpDe9X1hJLTY2N52cyKjHRW62O2
UOQ6Rh4BbmjJNNwysY9FqwRw7bi2C7wyFHDI1KeZOS2JEgKSedACiArD7LyRE5mKhxTGxjJqLCA7
J+XU10izFPO877wrnGodkp8KO986nrUSiCkbeBRzbvg2QeSRJQ44VVlxSrMnqahLPJrrQeH8yF04
hCRv06ICTNHZJbIeFSK0RrCmrvbwE87WVg9YDp51MKskF2elmjY+xh/RPPd0mDEqkQwv4hzAKkxY
hNQvLNdiTyG7sE9oQbOYhKARqYErkoRApAu0LI5o453jDP0zFQlFKlILJIyPE1PdN0XS0ZJ99Cn+
RbGkglP2lQNZpCimSFYMkbaE5C9ZLx2AXyuxSovuaKtdhWQ6ORlPqIN8VjxyLUNZlSq95ZLsCNVH
eQ4/GMaPSJ0cciiNXCrUAzqRuY/V4HDbhQBi1PQiEOlXQh4WF8zkKpGa2SJJywWCr3bNn1VWwBsh
k6M5/hCK3G5Q3eXYdEisiLyvEhmgQyqYiZxQ84J4LuXRVUq6qJT+MDFJIPHtuUlFRolyK7YHIstE
ruKkIe0MST8V0lDbSeS53BtzkwTVFZlqQ8raitw1JIlFnmxphdkxCA3cnS3Cr0/CW4/0KyKRA7ci
G66e8mKFjYc+i36qRpktzQqhIv2fsPhcVhKqfh0WkSNCVnj4HBcNfuzvuEj5SBhTQM6iWcAWfhMX
tT0G2P/Ey5egCEMDiJhjMcBG5V5I2f9TVjp7/H8UEIimaDYweP6TstJ6Yh2+6xFDp6c+RcSIf/FR
BMPvDYMP9HFvFkWVnKVKrusnldpA6B+agMBHWtupDkBamnL4/OZ3CBXdjNnoL5moXGA0x2m2bgck
Nud54+2XYFKKPMAc0aZX0ujWSq4VbvmwiemG9LiaZA7y6WSjCzU3IVzl3kqS3Aj/QL+ehm52Wg31
vST6O4bT3eu5lM19GieNQx8ns4OjXoc2rznhiZQXZ6WcGbPM18aVX5vtDLMSLO+G8h7wEICqprxt
g3oxJtGwxFDpVupxKMWpfsL0fN+y6lWKWBJzWGFMVHQ/O1u6jOshnoaRcqEZ9bUHwmCJWx14Myry
Uy9AFoXGQY3DY1TOlcFbW7jBLCuD0adN7xI/itNMYDHBxl5AyCsmPjDNXpUPE9l40OtkqQHjrHSc
/QSusyTF6AF6YlDP33b2E7m8bmh3ZT2w+FRAQ4GIOiH9JQRzQI0C0r0r1eq0HIMrA1RpRGN2BjAC
oKlhnlF0IDgEBjXxA1xfapjoo9R4C1SuLrDhWDW5tBqfIKxygFS+gLUahZ0chEpVUM8xeu9kMHUG
zrbEI+QDJN8iu1aOQh+aTihgs4WHMCqOkmTz/aVZSYdqx+jaAWtrZ5RkspOc5gO5OUEezn+eqksA
wMj8AdYtxXQpH2J7GVl+OQsFqNds3X5uCKAv3FFAvZROpdf9cMEC4xV+ZsoNJNm0m8JQLJYlbIhe
Ve0J+n6MepBK7gW4WO9GblLwxkjGl9NSldwlB82ddgguy6CTfQFT7mtMHRHnN1vjDNzCgRcyMTTV
cImt+mVS6/uO0mNsOZqXdVgA1vB+VGCi6dVLjKNVYNICMN0K6DR+A9c4MoLsV7mMrfxKEjDruOou
JQfgNT8a008EjK0JVLakorKsmsiyKUDYKih3QZafMIw5jXTkbOuhp5EM3LtBjnjeCwS41SUeZ6W0
kQcOUGcGKN7VoMYirezXtYsgvVxhrK0JZLkWhVcNht1xcKnV+M7ZAoPOWZvpApVu11a9TPGwJ1gi
eNsrqjvVkDnGJh5gPv6GSYg3ywjUHTENfz6kxTiz1GQVpKS0g0DGB08YecDyLqD5qC+AeGryha4d
SsNjJAs8GEB7rO7nmLKGM9+35jYK1WTxj7KA5+eW/liO8k8H3L7cxat8GFDcAtAPQ9Gfm4PfwxjC
n7Op1jEdAVQvDuxsPNQbRzi7CoJAj6KVjVpTaQ+PalXeeFJz1GX1eQy3AH9FWgYpDS9YB5qDtpki
iAiGoCSEAoLYCJpCWdePFI/JJO47FRN6ax0U5Q24IAI6zqUTVRAe+s7GAgC7GgRkJBvZPoT6FGwp
zYHuRAtnosZtBJaoGsy4kI8qQazwqqZZ+GN7iJkjcDHYF6bfr5k5A3cQxIy6qOgFCbJGpRf7ZgKr
EyAM0pX9RW1gXMVUYB73fjfDQQJt5NQoOXQZR8I2T+ISnE7Wu6ss1uhiNG4/tSTvAo+w0yx3LhxX
39f6ARc0aC+iVfzNzfOVh47MAsfA+LrscEB1O7jLWJpAthIH2wivLBP6kdl22GM7HQhX1b/t0wzM
gx4ssHQ45EL/NugZJCO0+2YEgHMspFRmDMaspQm0xHkTEZVK0yeGmX137fTQd0HK0h08rvz2PDAA
6qpQRNyADN7KSmWeejE/27YXhhna+zS5blHMo9OFu8SEIszHAaKQwPRKj44OlQ1Zz2BpO9I5hhG3
psbZLmLLJv/GLRQKsQced0xXMu5HkzIrrhU7EXQMGBfJ0NNkQ1Rl4qNuNMu4s408lRchU5VFXGe3
jcM4N2cjdW66GBhhTRR+5aRCZNGdpqFi3kMxdqDtT802MA+g35Hs60iu+KghahkCK43eXvpDdN4R
E6d1yFglMKAZoDqKybA0sN1sC2/IUFAPYlFkSWM3i3SYhhJMcrezaFTIHbS4yLxEEHaJhcq9kRln
yNw/9GiPkSyG1yaEsUlXSmy9Jj1WNLNA438E9Cn3E8tK92VFOajjvJzqg9rMI1vOrqHexgfVWFxq
Kgcf36MradBPEWS474p44bjhJcFePsLrOgX07RxUgXcKCuQ72tL7mkSyiDx1P4nJKIGOdPuuoSHR
OlRYhwNSAYbVzlTLugv6DGvTEhWdIsvHxZDZ3xQ3KeaG4esQ6Pt0nudJwFlp3AO5HNamxGao/VZd
AMr63qcw6mxXOgw8b10id+ABtoEwnC+zgrl6auVnWQR2Gbd0by4pxl0e9pC06uCnLge4bhfmGaXp
j0w3l24e9/ujpz2GcmdxxzJ4V9WSOWKf+gvTigWog0pezga2Xyi6msHgTIpR+WmCpUXbMphDnKcW
kLi1/YESLrSGDn5auJZT9SSCJzqtAzdEWjE/CtqYpa7L5TDiXtNoIvOWo/0QgbRpYGvEu5o5f6GC
0c4wHp1Dp733PSzEC9srFwhLytMsadsZJuIIRsIyGiTzCiiOQkvaNaZJIX33y+4SbmlGK9KZZl18
3FQKym4N5Y9HeTFTdf+iNq1i7sb1QePhWZfIziX0rjMvxnYAMcFunuQS3jpwYKYa4MDek2IcaNMD
icyJAxnKoEiq29xLznqVeM5qEUKgkJsyXUvYgB38dik3H00ZsJ9mEwQS9PYiJ3q0hI6fGqt37VAe
OUTyyWAZdxXOfIXdgL71lEM31VIESYFd92Z05SXAyYse7K/dmFMMi8EL3sq2d0xigDsarjgTpQkP
c6OEw9aE4UoNUB8vUPtFLu+nJ6GTiCfpd6WEUZM30jcrcTD1Q6Fcd7qrnpwLT68Ruas8S+dFrXlT
ZBbRGIgKvg5WSxO7K5E5yvQju8jObJuWamQVdAa67pGpNhA1UJNz6LELXIyu85aj65fKeeylFNOD
dqKZAXatRlhOUJ+8gIVmwMJXNNLLnnu6TE/gAqSL0tQPFbu+A3YF5DGor4qeEjBp5MsxDg77If6u
6lCPu4or1ZJvW8HdtAGDgKS3ulkWN8d5VS5Subcn8lDhMpHLWNSY4YNDbuy3JuyCPn0Yk/JwdGh6
e+V4oKrpNdLaOBiFl3mLamFFlmdFXH0YEjdT38HzLgPCOSsaayn35aPpk9JZWf9TS8j52lCZBqA2
Gys9cLF286N07drRbVg3p7peHGLkoMw8cGJuC2kOtzoUp6xvva/Me4P5p1tkF33FMEV3YHBRNsoh
5njadAgUCF4aetd4beIceYwUxUET5NMYaoF6WIUKrrOepUbncTqa10MWmPaqkIAEncdGnbezQcga
Grl0+J8a9LkGZdb3mxq0QYb5YUMJyk+9lqBoxMPskaklVco9Q6M6fW3NKs6eAdnfhkYvjG3wTPu7
NWvukRCJYtOQXyUEAH7W/n//l2bsCUgKQ02kdjS4RsqfVKGfW7O8saPQKkUkmo4kIoXvq1DPLeSC
EX2zGmPkiwGk3ZQDdGCAstaEWdBsKOMrmNeYOmTuSUBTbmYoHX6LaXuWVNmB5TASrQwVJ5C2oFcV
HMHSOxks4CHgXC8Y/Ny3JIlTKWsJKxIyFW6nnuALSdYim940qfJTfLKvupFGaKVf4w+OUrPv6AtX
YP0caVzEuiQxZ/MRcUNtHjNF1Nry8AdCzDf5kF22PqVVVtM2dE3zR1nUB2mfXtWOdOWmw5FvWqfI
eZy0kX9cZ8FNldmkvY51VmrGXQyccZ7wxVDcQA5dVeG6KNlPfKiHuR5qKB3UlIxF3O0j7X45qHk5
9+puoetofqghgxBGPjHmNfZ94WMeYcfmcVXH3ztK3KmNj4kR2d+ywLmnAXSG5gxKdmgsTGQvrOdu
163svAWXkt7R3PvpFmhxZekd7Qwg5FHpzZu0s/YrKznzctzGfFwnQ+8mVvFzy2M7n3UmiOEuz+46
xYFgyRg6GRB0yVVtnA2YZizArpdTlMGPGQIeFrp7TG44G4O8JJfoFnLZ0YZ29j3V+IZdx2Oghw+o
tn3X4I652nideGMyky0+JL8kRy4NBs3AiVWZYk3tCxP/4OrEd/rHOHSymQtYJJNdedqUoNYTWb3S
PeObXmNxZAfRd91THxvVbMHUih83yONh8VwnQFKrDEAi+lDkHk3A5KsOl6YZ/0RgKKJX0axU35Dp
ptLbLBTAKDLoF3OMFrKVM1C05WVR+yAcoxxkZM5vDcXYbqpC0yLFRrpvtBcm9kpLtyK1IHs6pC3h
zcrQHSaAyr9ZMfi71Fg0hDKggq4odJl8ynUPhHCsQlCD7DjDQh3NHtnEQ8XvMFFzb96V40XmYapA
y5+I2y5cubkYbe0w6JCCsFTMRKvCBfUYh/mkbaI74MbXNg0tutD5raxk2I5m7rTsaPt3crAPBAUT
Fsnfl1MpnEkWCjaynC1NYLKKjKpdJUvOPg6EA2M/+yEJi2Mq13YC7TaHKlcfmN4wzNQGJhxB5TIr
DFSEEEpmNyYTipDbqsHIXC4VUL4josl0ntQjPY3SWQ/ezTuIVcfXZlHUXal2VLbzUqr84AfL4NZg
GiyEeszA0Bamm8jpd4v6JsOyL4flhBpk5U+pC6wzmlIBeJ4i8M+0ovd+BkDkq5gtNBGeAqu8Al6O
zPjU7uBmgHb0Lce78AuZcgSa97kcS5hOFwGOd1ar4R2M2++st3EzOmgs2aV0CPonGwYtTuj9a4jF
x4ham32BcYSmXkedLAcnUNoa7pnYV2a9ad3JHuZC04iqElPoji4YThKRbhRzukaW912urbj6qbqt
R4TW4KsRaBPTvYmMwNdPZBXc+iR2+ib/D+/omXckepi/Dpc/AAE1m2wLxI/9HS9t2LqqCtSG0sp6
UtJ9Fy8dFOEM3QGLKETmXkeZ+h6uWgzPsTN44hcRZV/jpbYHtVc1gWQKQTmB5vyAw/wdLlNEw3c9
W+Hprihgji0FQoKYwb7t2fay5LVlmRItRWBgKOExNwoIKW/W5QUO+lZODq27z29kqCg+UHHKAKA+
inoqcd0WZqjnK7kxnMvIL7BXTnADH/dtGFtwneq00Q+qyh0vULpGpcVU9KvQtryfeRaixYqgzpFi
JcizWKXRn5Frf9OGrIXBP3g4TLdRWGk3LRe5fda5RdsuQoUJU6vjeGxi+obwZIxoXZDnmTqnSGra
qS15rjD4dkmMo8GZC8qVPKvSOyPWu5Wl5/Gp3qBlMFVyAPCLzO01/DUbGIwVFnZW0GXaqdwqRnTc
xuFpWUcdVAiARb5zBr7rwajy+7TwFm4lf7eY66SdtjQkk+khSi8T/OCBkbsLJ0FvJDlwh6GYaVHC
dKxUZvFQPPr4P1NmrhQ1f2y09gLTVYRc9TL8aUWolzvYCJxIVl4ilm+Yh3EAFtFJ6BuOKgKbkqQ9
6mGV7uuuL6/SusjnSQsgJoglA3djoSTrrKoUj4FRtduZF4zqsk6ty0GRrmMVTlkW+rB76tpTLSTo
VBhVlYvHnS3jeK+LRyBkrsBqvSz1Wutnpp363yqvRcQHsOHc6WWMVyB4sYoqI6kqotTTpRKlGGP8
VuD+cuhLirL6/R5TxXzhw14WClVo+5Jpiuz0/V4uhhI2OACYFcZp644GzQUSeBM4ESDT033EF8D6
zJOlNQc4PDEO9YU2R2p/+i9VQoU24j+fw9Y56kCdSYENkeziUvT+cxg9um1e5WcrV/UOsXzvp5FX
uLAKdDq1VuTMi9YVUnkmAQ1PvBPPKt1Dhd+RGRWIGlnDysEeCNrseFP3mbOoVMYhdZ0vXHu8sQzs
EEOX5oc79ldFDPFbLQsMQCs8JPrORU/Dp4Nm+P0cfatlp0AXdPF901HQHg1nf9QQoYBQqzPMmRR1
yaZwoJol6T4Nk1mmwYXO5Hzedd6x6oJAjVJk5YHWTZIkxNoD/+CuB39XeILMo3mXHiAFFCpOmt6W
oU7lSzlio1lOQfdFDi9+/yt+f4mwslAkgU2a3JcIH2jOh9zeGdXOyRO3XMkt4spcBPislPgYSYE/
N7IAk/vCW//+LZ+Il+9+mx/e88NvU+pbq2wjr1oVnvYTm6IpXgQZXEJrX08adOtcmswm+AwLCT8j
phiniTkcjyWuyLZkHGeBfS0HlNJtJT0SqxeINJ+omXkuu+Od4RU3SRcUsyIt8v9v7IRe2BwbBV7/
jk3iT5/ER79n848Ssf/WX3oNepsf9ILP/fcUYwUX4V2Uf/pgT5q1v31OvKYJ2tyjScuU1RK3jkrF
+fRi58ZZ6r38saSoOg5FumaZAvHLe71Zo1+twu+/4Gcx3c/P+e2H/whglj92Bv54ETTKfyBbuAlw
UMWLi/H9IkBRMXRkRFSu5t1chOcP9o9C8Z8vgi145uQ4YtD+/tvLe2wQEkFgXOK1E2vwttcDNYb0
748PAl/z73OgWXtg2FHUUJ6/o/iS7xaBFhHjOZJNRtxPrx3dCJ8gjH++EZw94ImABEEkPr02nAaT
JIUM//n62cEr4WP1839ZBFV24KNAMXt6ccm82w84tzHvhIkgCoIdvBLETfZ/OBPia749FFR3NjwM
PDLF61NwwIfFUrk1djY2wGD543vh/RrYwsCcwyB6wOL1aSPIe7S32Cr6zp4GQMBbLwKUG3S0fhUg
uR0pHSwQxc8nb/euBOV5i24TILFdlFGuh/30fBo4X++uBEVsFccE3MaNuYNXAjfZ8121zSLYe9Sp
jgMd93kRPgUHleihI1Wj7OoiKNsHB3MPJWcuPp3E4+n1cSeQLPBnRFBuzN3cCc8fbLudYIHkhMr2
sgYfj4NK2igmWs+ORTuSNnILfKwfhCr4ltejxjfli9rmL+oHRo8oisu0AHYid96wCPL2i8CklCmo
QVP2l4cCl23+UXYzY+J63D5jopKEWKNgkvDhSiBfBFysWJrxHIh2L0J+sp/586TZEp7FUPm0l3tx
U74I8YnRwK6eA2XrXAn7ACGJqjPp+LgF9D2a/8AMmH28RI2djA3q9rHB2VMBFSG48lI9kYa/S5Ww
xAbTrYt26I4GSOV5h24TIFWiAk4SYEOeK4ePi6AYe3hEcmHSdRGvnT0T22eNzh49RDRZ6CE9vbgD
3+8HFflfQ0HDcGf3w/aVpLGnWU9Nxudf96YWk8itab7satYoJldbpko2fTYBmXq5Aj+1FKgk4THY
6EA/B+Pdi5OCnbvdIhAidEppFDGeT4Mwn3l/HOgpCPFOkGW7ej1uHyP0PdlQkW96LaI+VpKU0ypa
H7oltJx47er1KICE2+0HTQOZKCPl+nIxfL4ZLK4ORMwUa2cPxVfUD/TZSI+tl5yBZf14KGST1gIN
+B09FAI3uuVOMPCeggfE0X++GjYsgskuYRK1q4vw8tvZJnECqCsEjw35pbXw8WaglgK+y+UoBnUs
+O7FCHXrMoKBFFudw4A92NPr404gUCIlYYF/AjcsXru6FFuHS41AANoLVY1fJNLsB0oqxrf2rtbW
L3PjbQ4FUznRXYIPvXk/YHxPaxqdRJFS7eSheJmUbbEIAq2gCczf60CKTf8+RqhgFimqCBQ7uggv
MIotFoGbAUk1OPSvOfSn65H0Eo4meZP+enPs5H4QOLftwqXotVAtESrMpyvwUzXBzSDuBbCbz++1
g5Fi67qSQ6E7T7SRl0Xgwn1/KOQ9A3yhTmW5o4dCeGZutxOA8DjIRTCNeOk+cwl+XASSKsg12q52
n4VW1JaLYO4hovuEr36OEZ/qSqyZDBMx3Z0d2L80hre8Hika6TS9tBg+XY/KHhNahebjzu6E51xu
m0XA/wP4JzOpFzjThp3AHJvOpPp8ce5q9vjJP+XPhxL2HtYJJgnkC4Dj01LQp1U4FaTbu3o9Pqe1
2+0HhNAdqueXYuHT9SiCiPiHBqV47Wq41LavJizmM0IziCbj8+tjpBBKtzJZ5stAbPdyBu05jm+z
H8CyGGD46Lf8YhHYDzJyt8rOopq07XvRzOOA8KFa/DKV+HgzMLZXSR+5SHf1Yti+C0uvhfRZF3qQ
T6+Pa8CkTnVAujjOc1tuZy+G7bOnpzhgGczsPtwI7AMFaU42ystp2dHtoG+fRuvi7hOdtV+DOFDy
0AQb7vXy3MnaUt8+ZJqiCwkhX3n5ph93BbUlYHlCyc7OsPWt4wQFNpBO9j4k0KfXhsEtBwMlPoF2
2MmdYGx9KFgERvQm06pfHArRf+RIQBB5vkR39Y7ECWXbChN8E9a+IFie08RNk0v+kBtEGAPy2tml
4DRvWWxbzGhxUjTMX2EawLjIYoKJPOVuHo2X3G6bPFKM86kyRc/h9ff9vu3CJQlHHNuInb0fviJS
kEGKs/9r7hAuY/QchKHGbl6SW0cKutJop0L7pxe5eSfIe9wbioLA6q4uwvbXI2RJLj8NR6rn7Ohj
ziDQLXhdyeYL3vbfqi3/jb/0N/F06gfx/RMvNXionoigz3zLf/kXXkmbnx/wBjD9RLR79zcFT/X5
2c+wavHf/7O+T4J0FlR1GdzV6tN49s2fvo5rn97p5edfvuLnN3/3Zq/f6/V/7gcP5bq8w5H6iYj7
8kFX6wRi6//G/Ot+/RHuLUZor/9vM8f276jw+6cj4vvw+qB/zHRkko1/vup//9f7lXgTcn778GR9
n5WvD3rzcILp1g+fCBOD1+e8eTa34NbPnq7jdcuvpHp91pvnc+i3fz4CcdWnXymJBgf3Cx6e1uX6
r2lW1ZvegvJy67eYPcR/rbJy4/oTHrd+/jz+a5aVbJ7XZ71ZfzoFWz9/UT5Um9z8xGW29cOX8UOa
vj7nzQf/iuO63yS3WXxff368wHtv/dEPkvyhDNbx66P++fQCRbz949F8fX3Mm0d/xYk9eig3rLmY
E279qY+C1NtwEQj21dbPPl5HG+4wwSv5gkdX1cOmNfmKA3qcVX/9b+o9xA+bVuYrjujJ+p4L+HUd
3uyWrziiJ2uk/jc8+yuOqHh2nm263QWWautf68lDep/dBZtuL4HN+YLnl3cP968P+mfdBdxj+4dn
fPbX57x59lcc05Ns45p8xSnl0fVD+TBs+ORfcVJX63zDRhd9qK0XfPXQrj/njpjNfsURPS3XXAGv
n/LNr/MrjuhZvL7b5FEl4KJbL8tZ3CSbkjsB39j64d8CUscquN+wMgJhvfXzL9Z3JSVBWm+IpdpX
nNKLdfrX5AHlyE1v8BVH9fkNynRd3m+8yMRE7AuWKf1rFjx4m77EV5xa8SUWnIC7oLrb9B5fcXzF
exxm66LZFK20rzjD4h2Om6D66/Q2qPJN3+MrDrN4l5N1/bDp+V9xnnl+vf5rsi5v15tyBjFO+or9
xHtMkWfecFkLtM9XvUPZjK8P++dOFWOg7d/AX2+sCcV4ZfuH08PYuDRfcpiDKsKWp3n9nG8W5kvO
8u/c3Z9aMlu0WC5ITJJNe+ZLzm+9xt80XjfVhqX5kqP7O6/IbZfm+4O/3rQ0YtS19Yb8vZ3X1h/9
d0Lt2z+cBlGyqS8nGu9br8zvVXO3/fC/cefe+tHN7YaDZPzrULupLfs33eZzs/ZV2m/Tj73vRYu/
cRc/rMv/+X8AAAD//w==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plotArea>
      <cx:plotAreaRegion>
        <cx:plotSurface>
          <cx:spPr>
            <a:ln>
              <a:noFill/>
            </a:ln>
          </cx:spPr>
        </cx:plotSurface>
        <cx:series layoutId="regionMap" uniqueId="{79C70423-7570-4C6A-A918-6B66DA6DEB56}">
          <cx:spPr>
            <a:solidFill>
              <a:schemeClr val="bg1">
                <a:lumMod val="85000"/>
              </a:schemeClr>
            </a:solidFill>
            <a:ln>
              <a:solidFill>
                <a:schemeClr val="tx1"/>
              </a:solidFill>
            </a:ln>
          </cx:spPr>
          <cx:dataId val="0"/>
          <cx:layoutPr>
            <cx:geography cultureLanguage="en-US" cultureRegion="IN" attribution="Powered by Bing">
              <cx:geoCache provider="{E9337A44-BEBE-4D9F-B70C-5C5E7DAFC167}">
                <cx:binary>5F1Zc9u4sv4rqTxferCQAHnqzKkakJQs77ETZzIvLMVWuK8A119/m46TsSh5Dl0VPVxdJVWJLTXU
xAf0jsa/H7p/PSSbdfWuS5NM/uuh+/19oFTxr99+kw/BJl3LkzR8qHKZf1MnD3n6W/7tW/iw+e2x
Wrdh5v9GENZ/ewjWldp07//zbxjN3+QX+cNahXn2od5U/e1G1omS//De3rferR/TMHNCqarwQeHf
39vrJPyWV1m4fr/9Hvn9/R/JOt08rt/ZeZ2p/v27TaZC1X/si83v77fGIe/f/Tb9uh3W3iXAvaof
gZjyExPpJjEZtZ5e/P27JM/857c1TMgJ4UTnDEb+/q1XwMqbOHriZ/34WG2khCd7+nd3gK3HgNn4
47/PwsM4GyMAPmDx+/tPWag2j+/u1Fpt5Pt3ocyfpqvq7Xx81E93T3Pz2zaE//n35BcwW5PfvEB5
OrX/7a1tIP8LyB+rEJ6g//Ug6+iEU8INbrBXQbZ0ZGDK8DbKb2BpP8rTAWagPCU5MpTv8ixPD7GT
zROdWszihKOnF93dyRwbTNdNfRvk+Rztx3hCPwPiCcWRIXyRy3d/ZP4m2chfv5epfoIMQqipG9/3
sjmBGZsnRKdU5/j7Opjs6Dcytx/xfYPMgH0f2ZFh/0dShNnmALCbJ8yiBsOG/grs1gmHl2Hwye6e
z9F+rCf0M2CeUBwZwnfrhwosoEzlB0HZ4ICzbqJXFDU+0a3xD9WfZPxkc7+Nt/147xljBuZ7qI4M
94u1lJvs12MOxpkOu9q0yHe1jXb0Njph8LZuMrDNX5rg8znaj/SEfgbKE4ojQ9jZJO+ucnD0DgAy
PuGGzjnB5isbWz8hSKfgZk38rDcxtR/n3SFmQL1LdGRo/5GuH/Pq10NNzRMwvhgio5m97UqDG8YJ
sSiy9gnv+Qzth3lCPwPjCcWRAXy3zt6JTZWtq8cwO4Sy1k8wMik2Kf0uuaeCG/MTAm61xa1tuf12
xvYD/so4M4B/hfLIFoCo1SFkObVODEzAAHvNFCf4xDB0hjGZmGezGdqP9zb5DJi3CY4M3btQxmGf
179eguugrCk2TPIjJgr7d1uQkxMGvpiBGGz5lxbZW3jaj/HOCDNg3qE5NqTXmVq/s6t6+PVYU3Zi
cR3rCD+HRqfhFIh/gyo3EbLYBOs3cfUK2rtjzMF7l+rIEIdUyLrZVOtDxM/ME2wxggl/DpOCvb29
ucHdAvcbBPwE8DcxtR/v3SFmwL1LdGxo55DFgQ2ey3Gb//IMl3mCRq+LUr4/cgY7HEPExeAY9v5L
aW6/ka9XMN83yhzY99EdHfJJLQ+BuQXeNGxhCJd+N813NjlIdbDdmaUbU8zncvQa2lv0s3Deojgy
hC831QPkZH/9ruYnFDGLmew5oLKjtyGsZmILsiB7I6Xz+dqP84R+Bs4TiiPD2U3eOXkFEZUDQG2e
cGIxgzxXKFg75jjEVSwLgwhn++Iqb2JtP9q7Q8wAfJfoyDC/rtaQ5TwA4BTwBDhN9lquC4pWDIii
MTRxsOdztB/nCf0MkCcUR4bw1aZZH6TqCPQzI9yk6Fk/T0NnEEJBGJSzPvW65nO0H+EJ/QyEJxRH
hvACirIOEhxlJxBDYYaB8Xereyq0MeSrTQP+4IkFNp+j/QhP6GcgPKE4MoSXySY7QNpyjIISKBmz
CLjJ2w40+FOWiTk1Jqms2ZzsB3abfAau2wRHButl/pg//HrdC7FP3UKWYf2Ih+2gi04MnYBgxpPY
52yG9qO7TT4D3W2CI0P3tE6/5smjOgDAYCybDOv67r6FfBbDFEEx8HeRve0Zv4Wl/RDvjDAD5R2a
IwP6Lk/WB9G/UAVogA3N+XNyEizlqZRGumUaaBrmnM/RfpQn9DMwnlAcGcKrtNhU4Tr59VuZEvCT
iGnoFL+SgDZOIEsFNhiUI4yvibf0Fs72Y70zwgy0d2iODO8xt34JJxAOEQnhENOCKiIoBH2liggO
axATQ4HgBOo3MbUf690hZoC9S3RkaK+y/hBAMziVQ8C+5s8RkB3vacxiWYyZ5iRnMZef/RhvUc+A
d+vzR4bsOZQOHUBmGyeUP9WOfBfJo0ze0svgF4/pKgzndbbtr7n87Ed2i3oGslufPzZk4VzfITLL
7ARAg7NyP05m7GxaCwp5wbMieArtXIZewXaLfA64WwRHhi6onDGNnKyfUsr1Lz8uOR6tgRLO19JO
+ARkMobI5SSs9Ua29iO9b5AZeO8jOz7U3y0gH/EQyof8h+D8NedjORT/cAB1fxwTqgd0OCNsmBS2
+8vqAZj0vzmao0hehXzPMPNA30N4hLA74cY/hA0G3hWGI7PgYU1VNIdACTWh8PfZDN8FfjZPr4O+
PcRMwLeJjgzsi3V8iGwjGFzgQXMEQv3ptadWxMIGZiafFITN5Wc/xlvUM+Dd+vyRIXu5foRqvzlC
8o3dDaC6kxFIRPDnPOPU2iboBIp4wanGE+k9n6P96E7oZ+A7oTgyhD/WYJAdYveC0U0RhrNz38/U
7POniDWaZMYkXzGfo/0IT+hnIDyhODKEL9fQvuIAW5iPBdqgh9Fz+c9UG4MBZsAhHMatSShkNkP7
8d0mnwHvNsGxobvJIN94mHNU1glELC2L8+cw9o6QplDNyRml1sRvvnwLU6+gvDPEHKR3iI4NbdjL
RX6QytynEDboY/P5uPMUbIh/WUznJnQx2ZeFHDfZXM5eQXw6whzApzRHhvdduKkOYn9BkQhDFDLK
34tw951thzcRVPF+N9BgNWz50LP52o/15LlmID2hODacISZxUYfy3fXXUBaHcJqNEwLn5qB0D4Im
42u6vcHgZhD5hrORE4N7DJe8kbVXMH9loDngv0J6ZKvgEjpQHcBQGysODKgt+REoA2U9zWxActK0
QLBv7/K5/OzHe4t6Bshbnz8yZK/WxSG8aEAW2orpkLj4vql3qnUh7QwNShAo9W1k5/KzH9kt6hnI
bn3+yJCFVas21eYAzQHhBCzjbKwTeq1vHD5h0DaO0WkLyLfwtB/hnRFmoLxDc2RIf6zzpE4P0kMM
XGkTOlLoUOH59NqjnMFWw9gkO7GS+TztR3rnqWYgvUNzZEjfJOuHzWE60ICWHU/QPOO8I6/hdAUf
q8bIz5zWS6t7Pl/7sZ7Qz0B6QnF0ONfQZvgAFhe4ypRxOBj3fMZianGBsQ2GOBRz00ky+gYkzDyO
XkN4i34WwlsUR4bw6LyIDTTvPYRdDbVgBtTyQhrj527dsqvhrJSOCIKa7kl+6m1c7Ud6zxgz0N5D
dWSI34bQn0KGj4dIaVBQ08ig9LlCbMeHhr5SFLpXQBnRxJF6E1P78d4dYgbcu0RHhva4ns/ydVkf
KsMB+Q2dQB3J02uPuiYWlJVZ1v4g2duY24/7viecgfw+suPDHurJxLr6epiKMn2sHxrTV68flGSW
SXVozr4vIA4IvI29V/HfM8y8FbCH8NjWQLA+SG8a6P0K/Zqhloi+1oyInEChETIhprodWbmbzdEr
eG/TzwF6m+LYEB57BR7CF4PkJiUE+k09b++d9DVEV8aTWjsn3e9mc/QKwtv0cxDepjg2hNU6C2Wy
rg/hiXGo7EZw4pm9VkMGHjca2/LzSZECXFbyBq5eQXp3jDlo71IdGeIfN8H6EDdtgNSGE3UMrmF4
RWVDSQq0jwN/bKxLgtckqzmfr/14T+hnYD2hODKc7yF4VR8kfQ1NuSE5TdFrreOgWAHaOWPE0GRb
v4Gl/RhPB5gB8pTkyFD+kieHiK7AvRocTtlB8mqSroSwCrzBMZyJ3za95jKyH9gt6hmobn3+2CCt
vx4iXTnWk2E49QyZ5qfXTkE39GeGYm4TDO8JsjP5eQXZl9RzkH35+f8DyP4zi1sPPF509sePud1z
Cuftl9RBxxHGwEX+jug0cQVymGG4+Apw3+cjQwfVnzfrfU907ONpP6ovabee8fsj/vOkHOYKutev
p/t505+zVmv36Y7AFzfU/fO7T48PdxtOSJ/rsfZM2M9c/+rx9/dQGUChlwRcefDz+sFxoD3VXD+W
xTbVBhzs39/DdYNQkI8wJDTMMehNLUC63Ty/BTY0VBhwCr25dWgICMHPDG7rCOASw/HuIzifAQdy
4PIciJMDGzKvn9+CQaDsBG6/oxBhgzr/Hw96kye9n2c/Z+X553dZnd7kYabk7+8h6Pb+XfH9cyO/
BvR8h2UG5cjUgJj7eJUDvP+wvh0PVMIk/M9AgzQgeYiuqYlC4aVD5DL8V+4/IksMhheKimUXodnU
ImwtctEW8PuK8GuGs+u6LBbM9G+Tuv5LysFGvdYtZRz8mVXGsiz4Lc3My8IqlZD8C2Z6IZJOuQOP
z5XBpfCl0Qji15+KLvsYoawUtYUSuyyxclBYfPGi0IEuiudGH7kpLtdDMAgcDX8SXSvttFNngZG5
VhdxOx7CU1mXqYiy4U/s89M2iENbj9VNx4MvUZp9Gsz8worKP3VGUhEb5JvWZp/Lqr6PcUqEXhuL
ytIWAx9uQivmAp5sWVhRbbdW5pihYoJ6Ziy4167gGk0Ra70p/Exf8lJbVLIxRZ+a92VLOlGonq+G
Osai9fTzCCW5HbXaKWtDXeCw8k5rrV/merciuBFtwW7bor7tVVp9Sox+nRRFbLPSPPMD9BmlxrmJ
8tQuUHfpx4UhWp9rrhFlp6rRIrur63Ndlytm5bkoPeOsx48yy/7yvfpTbxqt6PU4EIPZ/hUjaYmk
pJcJ1zeUF41tGfgTG7xStEhvbE33Fkr6vujbhrmo608j2S9Ns3WLJryoJcyZ7ye60/Z+xCoRR6qp
rlSncOB6PMqXygiN7lzlYS8GvUBqlZum7ypu9Q4mKopEmaOKuyTUvcaVkiprnTRlu4qUQZTDYtSl
oqNtr9spySunT/TA8YOytAvdukzrsnRRTh+yoCqF5unEoboWCEJy+F+LnHaQD8yrdduKy2/QU5OJ
3oucPksHwXHfCN+Ib/lQ9Oec8istIKatSAFjICZyLfgz6fQvmdm1dtM1d0UdB7alFaGjl8ZjVMhv
pO82A1zaKRqe3PtQViIopZeo6XoRS3JeZVroRq2irm40Nx2hvkOt+FQPqi9mbKgF1fTENTzzS69I
LAqdRYLx9lGapBVZ0nawcpTlgEtt2iiy/MvE1678L0njZL5/lnXRo95Jx0hhvWS+bcTDOcuyZZQX
HxoaBW4Qd58KPSwEy/1lEngCLMNK+Ih99oo0WRrwGxO3n/2h/BB6id3rmrxo5ZfMMKTwei0/1zgf
QgeG6gTisaOxQBOMJULTAmknVdeIugXEo6C8rfvcX8VBcD6w7GqoirMuK75BQ+LKTvSmQouyj6uH
lzeWbsmrh7zoq9APnu+d/fnjfz7mKfx9usL071+O19b+/dNyk493uMrph0a98vNTf1+DOsrxn3ei
TrTD97tvf0jUt7z5Jr0yns56Xa88HbzYVStPR7p+qBWIo+qj3Aa1wp+0wN9qhUKDfyh7YZBeHSvc
XqgVuMkH2khTuB8XOqJxREEZ/VAr0IF0bLNigdaDGzXhAMqb1MrYO21brUDdJPTzgBzQyAUMuK1W
QLXBPtTQcE3T4L6kibKTvs9EVpSlg4d0YZZsidt8ZfQa7DvrPs17X6C6y53UYh8jU7+kuVqlUeSW
jelJh/M0s9wwaItPSW5hNyfog69l1Uq1oQ/7J4m0ryTJQZZnmDbBOfeatLONDHmCJTw6lSoK3bSO
6g8oK6iT1+yujdlgm01/bRkJFl1GnSIYYlF2+ce+1+5zI/tEc6MWiAyJjap2xbT+OgjNM+gU6PSB
fKgGKow4a4UfodsiIjeWqd2TRmZOoCgWnoovm6KK7drLvvXVEImA4IWnc98hVUpdg3TXqsLrMok6
x2ho7fR58Fi26eAo5Enb6kzXR6q1izzAixhK3rxCaHq/artcs4PWP8c1v6axb9cYNmXNbYQDbjdp
UAhMmvOqKT4HyPqi6TwXZkI/xLl0lZHex+EwiCoaPqmqXTQ1Lq6w17ppkX+Dc+FOU4W3Vl00oqHp
ReGnK5z297Gsz7W8+YYqo3eQ1nObUFqLIWwaEBWxEjSJT0upFTYNmK31IJk9gmrbKALzmvRFbw99
GduNahMR5K2trCpy8ggsjhSMBteM48HOugLbDPGHoAfJR3G/VF6EhOywnZlkZTF6WtfVtZdUmU1R
2F8GZVUWImOsTkEDJWEsjCRdUVXZUhqXqotTQXNC7CBrFjryvsY0EnHSaaDuOyfKurXP8ljAmHae
gJrPu1a0QcNEQLU1qvzIrhpFBY6pjaW16ePYvDRhYl0TyXpB6oBdJC09LaKsugukp18RlebnmPiN
L7gVOUNVnwZNN9iSJbqbNNwx0xQvQV+oRQLr/6oOzSXX9JVWyntkGKeoJvdto7DtBxI5ShJ8RQsS
XRRZXgjfYtgNDNBpXhNpAjSDboMa9JY9xuiq6Cj5EJKcn4Zxs7T04rRv/bM0lp7oSrKGxvGGE2d9
eA02ZQvKX1/0ZrqolWwd3IeJbbTZ117mC9KEf+a+JkJLxa4fAJ5R0ifXOmi9sEuXL4TaHuNzlAF/
m57jAQkdpA1cAQo1P3DYDUNG6KXpWdCuiRPNwtdJ+inWHw3DadPVm78CzmHBgVgEMhJqSsDEf/kV
feF3MgqZfh3Lr3V80xcfM+vi/6OOeqltDBDZL6Z5x+156UF+9z6fXIknqh9uD4bei+OVvgju/zOg
Ky4M+NPtgQTx2CYZEgygI8DD/en26HCJAR4L7tHo9sLVghCE/KGfxkORMCD0rjAhuQj9hN6inzB8
x4ulB14P7BYCJ+AZVAnTUUltrws10Lwo67q7ylpquU3rgczMacRjO+Zt84FpRn8WdU0WuwjF6ovK
9QaWqOxKIa2s/Pxi9vbsg7FbzpQbuFUNWu1Aa3+4un6Mz71cpXrWF7EV1M0VKTN85cdD5oma5yyw
u0bllmhavf7Cm0IDbyw1VWmXURX7whsk122onMweLaXQNYwR1A5JEvxpMDQTL3tmeBvca7hb/DPH
ZMdrBNUORdZwx+doR8DRtwnHIQ8A215d0c7wfYd1Q/Kpge6MdKF4nxui6TscOSH3TDFw1oeijxFd
pk3VY6dqcvUYdFJiO9QKw5HgUTVCpQFqBK+M2Hf9PApu4to6S6UVgO6Hs9L3MijP46Q1OjeUGrsM
q6D5b/JoFwaoIUXQgRAurYR+GE8P/cIV5r3mt1qRyKtMedZ97oOwF3pMYGkUWd3dtF1l3RUeTv78
58ncFoMGghsd4KYWTuF6DzgSTOjI1ouvNVDn64X0s6vMHPAVjoP6KpOVHZpecP/P3wTbZ2udjd9k
gRTkcPUqBBPNyTorMr0fyirIr8wC6euyzatk6SmzJyIuAheVdTKAZu1NcFmp0ab/bdGMi+JveT8+
KCwUaAKnw01EIPSnXw8V+2HgZ2l4xcvYWKdRbazjZOTBGFLpsgq82B4B9Ms2AVdalHHONyqx5Kq1
ev2iY7RCNm2jPLYjnqWfaFUQ6gRm328KrSnALBlSbhtWrlenBmVDLf559sY+3lP++Sg2oG6FQNNC
HWTaS6AQqw1wnDztEtdeug4r8JgFBuMn0wUF49Y/a4Mw/uqbVnHRDWWwYODmhzb4+fyb4sOQ233g
c1vPo2YTVpQ/NmAd8bN/ZlI3dkCmOoVFNNbWgEEPgZ1tLlllhqgCA/Qy0svCs0xHWcGw7FRHrYVq
6tquuhJ9aNIeTNsgAIOxwtlSkqpYJnpB7Dgp09siAY9T8KT1P7dRmq96qZQojLL4xGRsOl6ZeXad
R1EoQkWjVniRzK7aQpPXpTZQ1/exFQlt8LLUJk2QnhpMJbck8m/8PqOdSGpeXimv/KhIqlGHNQQm
MuwJyAa9BtsUtWZ0kQSG+cVDtX4WMBNfDH7XWHaLAj0Fc60PV5pZ9aloe3NwcGtozhB1D4Us1V2N
NB6INlV84cmyXukeIR/LALfx0uMaDsUQxN5X8JKqRoRZqf1Vpzx1ikKSVZxnxQqXVvIYNgWDfU/T
+C60vI6LptT9s8qraruHeVhiCOhdg63euXpblQuMO9y4CVzJ5NtN65ul3ZDAc1NJK6curOvA03zk
YJyrU1A1YIJlKGLCVDz5s0tRcE4qq7gzqDKWtRVpZCFZOqxNlleuRF00LJrY9Bda16E1kUn7TfpF
YdgDUagWmU8af9GpKIfN0bZu7ze1uahyL3ASRdPTDD4qQJxXOUx02nARySjSbAhlccFzoxuErhLP
pkrL0mXFwOzT6x59aCnWnVBWKBERrCQIZKjWksuO8u6CxcOQeB/qtlRpKsB+7LPqMfACQoYvstU6
ngbCqkCU5w+kTyNFK7jYsa4LdKVilcbdmRWWw7KxauWt0iqE8EUEvtsd4hpdRT04FnYNGHiiL5HV
AVypaTqZ54E+VEncli6LWx/ZVaKwdx2UiPH8NO55Gzh9l1jqgklFYUW1Xo5la9egCxdMCyLvuoGt
w3y7NAsTFhyNZbrIkrAaQ2OgvDy3a0JwXjyI2hsQQkKZDjd8eWlqB1bdeos24UnqSg+sgoWR+Sk4
j4MBEjMjsV7baVBpiWhk78sbGWpp6uZ+aH7T6oaHyEE5UctQN2vzytA83wP/hituROD0yHLoTyU0
dakCt/ADnrqebIZyYVUyCxd9wtL+FEmZFrZB+iS0eWf0ybIKy1CzRwf8s1akA3ag+jZOIZSWIu06
iZAmYcqz7HOUphb4RJWlEjcOFLsdakXpItJygs+DNpA8EzwggVp64C9md6CM6VnkDyRe1AVw4OYq
8QfXxN1g2WbUF+1lavawtDXYKpXjYVyfVWDkJ47vUb92eNYAnCGXYJ9kQ0SHTRJTizkmMJA6tE+D
coVRqJ/6IY+ZTeK4pE6Yh54z1F5sCK2tCusm8trRvQnLaBBpEQ3aOfISfYELzzeAXYsXLu6DIV8F
IW59N7b0oBXj5wS2QiuD5ePT0u7aUBuE6kLtrwq6nvbg1sA+Ild4yMIhFGaja/Rjn7SkvmKF1edO
BqHqS6POQCX5ksdAYKUQ7Ft4YYCzLwNOsuCs7NOkW8jWGMJzrHz1UY+IsTY6Lx1DbbB4F3XWcepK
NoTAfI2j1EloGUvbbD03xGH5JWlbsCwiP2rupMHar0UV0NOGt74HjrCBIIRhejCOkeRRt8iqBl8N
XUH1D1IZ+CNWGnyiZRoEDBXueec2JI3C06ojpF1l3JfkOtS4dZ+hclycUVTKJU9kIG+6XlcQZSxb
wCZoM2AslyB0z0GDWfcQ/ofVnYKUrBy4hqrLV0paHrmJqjqOb4mZWfqq06O2BsdajcZn0Hc3Rqyx
zs3bFL46z4ehER1J1bBEMR8ffmS9BfkEfBUpvtKNDJ6iLg2YqiDOweW34ga2TpH4cfghqzhs+aoG
q8CH90CmEpUF1yXW+yoTtAgQwN1WXX2ZakEhRYjqslt0cAiQun1TklFowGay4YlAgHQWHu1klaX3
HtzDdGY2YWgKMzBiWBe9z9ZtRoGNror6W6o6JM99MHOj87zI4ujOBG2xlBnCV6Xll18gc8JKEehB
SM5y07fqcy/I/cbpK162YOD2dFkQmFYb8bJ/iJPYuOlqifLTEvVN/LllqS9PU09Lv/WDNcqQsEwC
B/wAk7ohgVDSomCp9VlDXrpI28IvIYwLYq6v2uA2zJU8t9I4MhyDVMQHsQcpHdEExLqvIq3x3YRk
sE0GzaPWSs9yXG5SEMj9GdxoAXujHSW2GxkazGjXDI0LSqYtz3FVE2Z7VqIa0LS0QWB6l9FfldVY
H7UezPSzwYLg1KOSWS9FijFvVmFLYKguxcFg663P/FUBsLS2FltsMeRNoy67nid3USNLYXJ5qqdd
Y5wOLQNwYoTlsCySOM8vM9bpF5pCeu4GZZY2537fFoFtGjINPoIlIiH5lIEYAdEpGxEHspXCahuz
BC3Ql3eJX+LwT5wP1GzEABZY/6lQVLNgMOlVbsC12D/TvKL9GvhIa+yESxavQgvhD53UvGFZ1aUM
3XCoYZGGkJ+gN12cDMZVyookEWXRIHap40Dv7B6sG+m2QQGotWYW+qIaeAqyQ8rExR3tKqdJiFkt
B7OE1R/rnc+d3uuRtL1CsvJza/T4YxRUsNZA01n3sNZTeZNZGQYBSyDFtDDTgLWiq78Qs25NLOK4
4Z8MkpWt0xq+0i91LzGb29KTVgXKHVa0W4QU0ATHoe8uQqri/IJXRUBvSIcStvK63ILn6jrNv4wr
rWidVHogM8Aaq9VlknjAf2XF/kIGZhw4bYfQqi912Pc9YzwUuhfwyyer9Dlve/PdyP+ed3wZb38Z
fp8Tx78MH6pc5t/UNJC/NdD/vWj/GHZ6PdoPilhtXsZfvqeeR6If0ZTx9igo0AP/GY21twwiZT+j
KRAzgTIBDucjOQWnFdyB5yTyWNUHNSPgCMDFYlCOP+aXf0RTxjIvA+6Yg9gMhS5FkF/+kfLYAhOy
588/v0wiPyWxtzwjY/RgGcRmoF8wnMYd+XvpGTVFJ8EiCui17HRkD12zglweBPojSiF/XC5ySmpR
qf4zJwN1pK8/VNS8UFYfO8Yo9KLO05eqCs5VmyORoexSi1AlzKGonU42V13FpAOZrdzO8/prb2Vf
gtB3QRPfxnq0zHp1Rii5LYsiElHZ18IqiBQVJhdZCjaFr/FPMrZyO7FSBeLI+zTk0WcDbC0BSquz
WZdeGz69xi1zrTI/40m5io2BrobGq+w6hoRhE3RLiMu4xCy+6UVwW7e+cZb53hKSWl9NSHtacrjv
ZAqpYQI5CAp2jWB6mjm08GzU5bXNi+C+xfVfcdfodhAHp6TOM1FIXok0AANZNSqzw4JexWl5lsQ6
FW1VfSubAFITWq7sITGvw7Qq7NYvryOjgfRbqkCGhJ7v8BTi2HFQ+baFfO9Kshw5YLMOTJT68M0k
TXzV6PxhCGFyCy8NPhCQUCKQ1SZQyLqM8mRlWBpICFL0yyCT5rWEaK/LeQuo1YEuKl/5dpxCgDzy
s0A0EWbLsOl8wSoQ8HrH/Q/Ip3g5FJEvSj9MRJpRX4A/koswpb6L+iQ6pbRLXC0MyTIKxkjDAH4z
60CvoTwH9ehhB3c9AjdUhhCvL7yF3tLErVJFliqnqZvR6AJn5fmgous4wyvV+4MTpuY3bwBnKuKp
7moyhNxMDQUD2OP9Mq79xEVRYMJE4N4FFWctVcR8EXVVvbQIaJfUryB0AHbZbdZyc1kXRuBCgWR0
ipDnOU2TUCEp1T4k0CJGpAM8adlBhjlkiC1MX1N21LeQ/s/9wtXA2gPxHYdnhpTt0ifBx57Im7pG
mRtoZi9yVcAlORJsl4CBh1Fa+llhSSp8iMGLfhinKCTZX600ok8ZmLZCBlZ22tcQDiSdn4vEy/C1
YQZgvhWDByKewxxXWn1qtiC3g1ZvwQCvw8c4DblAEffcxk+1U6SiRW0krudlFvjF4NemVlYJcIZS
YepRLbSoNZ0KEsY2ayL2YcDdh6irb1mbxq4kEQ7thCRX4ByrU7Cfvqls+KpwEyxUgWuRWEl1GYIu
tGnHnKQq2Yr1rXfBNN4sTS/Tb4lW34dWrjQHqbrzlgHpMBZhXTy0wBUftBisySgR0gzKpRb2H7HW
4kUX+MxGjXWWpYS5bdtjYTX1Cu6e7UUB4RTwBX03zDLtTNPRaUjpp0ZGypZ+8DEtozMeZTctl7am
8Utp/OVxcl7nrPmzj5NNy9RF97/sfdly5Da27a/cH0AHJ5Dg4+GUkzJTqakkvTBKKgkERxAcwa+/
i+Vrt0ouu8Jxzn04Ee2HjnbIEpMTsPaa0iFQURRYSjYNEzwOXr31/T4PhIKQxAvjysLRMpkdxtF5
bzE3hOZSHo3JMIPR9x4WBtpH5AsL+q761nnggjAq7ppcX0CUXw1UgKfIRjuqK9ZsCgG3xzxmNJp1
Mwej8DxQudWu7iwZep1NE61xC822Og+E35Zz+mw0w5N0sDwwQ46RV6iDmMyvc+G6cVfYoBm6hifm
YG5MYYMrc1Q85p0VeItZBWU3Hjs2fRlcakSQmK792WNBU3n1jlGK/7I38mAoyjGUfXMYcmMLiFGH
I2wgudG0Z8g/OsgxRgZk9qN+xnfupS7ktVFEmPLdpyIdKho39Xysrf61cbxdPdBHIAu6E5UZ5Gp5
AR+Cqb+ZtzjpMskgBgJFLlHpeqcsxyrjNySw1BQWPmmCsTG3pHUhWrVRbglwR2K6wNZ0VVqdHaai
fOmZv/Vq+2RyuSFOu+GY9nFPw7k08e/0a8aECDsxvHfCuwZ92Mdjo3d95WTx4JUwuBQXTGgEe8EQ
lrY+ZH15qXwSmSK7K0E5Z2699YayjoZK3JWiDwGPVVCnnRdUetmmYKAgk0H5m6EAWCFk9rd0qHWA
fQx+Hrg5OnYtqqIMuVvfGEKp+P8Lgvrfh41WuvuvsdGHOOafEdL6q38gJDQDmEAyrotqNuSI8aM/
ENLqjnUhU4BiRzbtkx8CNj848AyIg7+Z835HSGutn/n//hicePQfAaTvpOtH6puy9ds/XbxuUBhc
yDw/AiQgp2qeMcieNRldUwbWYLZZUNcs37lDVp+FA0kj87KTS9UmXVx6gZsGBjxu3Nipc1Oo4a0x
ZBvMc7bLx/GQeWYCx8BVAXmbjMu+rM0rVpvRYnk9XuP5RUv7yoB0G9hDdbIclqTcu+oykoAGubh5
du/p+gud+5Cl7RtzGNASCzA27oqhiTJCsLVn9g57zYPSmPAc44KF8zRoEY2+cZq9sQenCCaQLRuq
zBAmjHvaioDgjOJSTS++6I+pXyS9sp9tXm7Gvt/XqZv0tn8YnfaUZtnJb+bEXxzI3fI0WDnE+vYI
GuMLbC/bzDRPvtYBKZpzbuanhpjxOPhR2y0RhKInX3TXULuOfNLh2LANtr7YLt2TsiTooPdO+VZc
ga0Is2HAKMu+rnSncJ0veT7uSOdHI+1uMr5sSJ5HlVwCV6pb3WHWTWdx5tTbQggEgHXvMZRuF93d
QHh7qa35RFh9ytL2anTBay/DvlJ6i3ky8Lh893J5QvFBvKT+zubOjZd5MmBEbnuvrgOnnI7F4IGk
0u2hTYuvduPc+NINM5HqlRTH2t9fcauKFj7u1FKHnUducn8GY5Y+OJW+574duzWAQZuJOC1mJ8hS
ow29qj0KVk6JO7XzpdRDGjXC/eqNvtrIdt4wSYeQz/KLZcksqKb5pYbvFLOs4kYbd9qfFpCOTOXb
3K+zXd8olZ+dZZlFkDtubW9GBSrSNyfc/bnbUdIYmwZqUUCYvCmAavY1gGDYtQW2sNK0jzNdxmjU
Zg7DJ+ySPjigKLWX/Aaxwk1hGV1Ae77Na7NbuSYW45RWHhWbulkPYKil18Y9M/Jw8CZnC8YVKqGr
b4Wj21XOmIMUbGcCKlOG0HFBh/HunqneiAt3WDcueCGYlpAE3ieagosm1h2x0teG2RHTznmxaOKo
4tR2xRQV0xg6ZfomFufI8v4LmfB7RzX0MHposFMtLIHAqcAaVXOxmuphGnoRybHrgxTehnDJnCLK
pfPCMZsHBphGoPp2iDrHPwm1ekFg4vPJgF3fGapwHLM2wkjxxqX/XGvrHgaJN3z+LOgbsAZa2yWG
BpihssqWEa3zLJAFbLijNLeyVJHNxBmSyp5V04Mz6/fBM/a5z/ZOk4lkJkMMj92DWKzYr8r2pNOp
TaqxhFtyIO6xKdPbWgI/cr/oYmuFJ4MDV8xk1o9TvuAqt9U30rAmMOZJRR7kuiQv5l1Kyk1u+CL0
l/FpabI2KPv5LAzvBQaXl9nBVq/mCs+t525td6T4zXLLmcIW31oJk0D7rW1t0sZ67FtgUyxTYdsB
LPABPLUrHjW38ceJ8yrSFiw21COIAy9kUFFnuTqcUyOC5vTF5u0Yar/DHxgM+Ht5aA/ECp1ewYuk
5F022VVk5FrHs4v7Pqfpo10CeaQy9fB82UlbkDbw/QmvqCg0pkm8lmpiHT6e/V4Z1rwZU+4HA1WB
KAT8QFW7E2Jx8dnGvWTdea6EAlQfAlbZuykzTlk/gmo19v3ElgBuFj8QRANcGfNVkRm3E+8PtM7u
wNQamJvcqFb5CNQ9QfaayZUYwPjUurhXmUMxKkkvKj1ZDrdZVtSJmoBmQ9KkDuSn3ghJPmY7pxdJ
Vo4OxmRGNsYCg6uupQhqTJ/JPFj7rtAXWXXg9c25vEBbF+F/sAhgwFrZ/HdY5L9KeEy/ff2MQ377
tT9wCLprYCtBK6SLEn4buOHfOASWTQ8WFsMGOrRNCz/63e6PHjN8dyU6UByELGGZwY8+4BB8HyLS
PegQhj3Tsv4JEAEtC6DxAxBZSR/AGuQ90dKAqN+PQITNvPUHlg3nXGDZZqXvHFU9H1hdtiEd1IOL
t7jN+2JbN165vGVN15LLgI1Yt4sIIQOVFz+TddDjIeu5s2/Wp64tOyz865PoFSbZiPXpBEuS8ALP
K0RCI+QSzzBoXDzO/tjWSfX9IddcPvmZbgKCUqjAg1KTh2BunP04k2VPZT1naaiZFvuhLCJtpWTb
E/XO/XqBdcRYvW8NRGyz8DEW8vFBIoRxsIRbHJldQ6MVsHPbmYxZpY1EmgzblyIYiMbV7WeDiSpL
YQXW963Q9A+Fp/q45WZIe6tP6CxPjGarD7Lxk7FcZnjPe0g/WT1t8WaezK7zw75un9TEr7Q5xZmh
I6uzjobDD9PSY0XPJWIToKyDnLFwGrohrnGHA56SHmREz9/TqXGf9ZKPadJSIEJo15AVs87c+mq4
yQr7liEYMewkfNn9RYD92EJ9Dus2c7ct1V1964LBUUE2pN4Y2B5oNNucxjygKX3HlDbthG6GzVAX
RbRU9bXOuxNyGPu6zE6tYR1YD0TYTXtSuVGzgBJusYXlS0iF/DbV1o3o/af/LB5YPCDL4VX660Hm
j2b3z8vHb7/4x/Jh/Qt9hTbqMcCiooIUf/OPMcaBrRsvLpIZWCzQX/rH8gGiF1l8eNpQnobuNKwW
/14+2L/QTI4MP8w+WFX+AclL3R+NJatdk670LqzbcJaj3eWTscQre84qi5OzScoQGMgMDWd5SyfA
iYKWbjDYRkLNPFGaI3qAAI+68VVFLpY3EpCBXlN7N5z7FQt86KTR0JnqS8qEp19hVusxb6QVMh3a
2eRt3wSdhdGCdyAQAaQQtGHgg2ds1XCyCGiekviJMq3HWhbGK2/LKmytWSZN5pURAFofjBxOXiRS
5tj2Wgdkh6WewQ+bCByVLFqyke6n2tvnuQLTaqsdzcDbdgPZDNbwUs0WdmtYpcBu1VZQrqZfoo9I
X/lB5dE4853xxGpj1ThzHvuIXG+U1tm6E4PxLuY+gE4IV5BfxIxbS2ClSsaLPUVWP3fXcMvY2PX7
8mlkVN+a5hcBzjPoSHESLc+Af/xLvgBN2pZ51EYO+/YkzpOQr50AyGdAh/Bs9FCw6RR7bF42vTeJ
fe0RGlBbzLtCd0bc0dYuAlhWpoDNRoNrxqwAt4WcnRaMNQXOycGrhr1w9q3T0aAYm/mysNzb1B34
knk0zo3Msq1fEB6mBJbrAMYPkRACHQ5uk7os4A2Zmq1Ks3LFdHDoY8plUcc8smZGssUD9pfpLcVh
N2OeSyPGg13vIGqPm6prxD51CTsKZwKv0vvpsXDxy/XRbIf0Yg7ZE0xANMhq9ytXFeJPXWnFMD09
FVDe47SX74YPe0ZP+FWZZiAzc30ujaIJM129Z4Czrc37s64cHVZIRoeOYkXo11CvMYXv1Nh6e4vC
dD7m+hakFG5TVW2cDP/jKxaaMx1Y4OjJAqYb5IQP0FvDmogbJ8s5wr1F9tr2QrOxS/ua0g6cvzI0
x3QzUzu0YIGIZF72V2CdjWjAg3Yem8lNFFb6g+s0TUSaZtMoWN1ytgwbOyufV5d4b8DxjiRdt5/m
yg7KkZsJdVJ2KqCUkMr/ZiHE4+bVpRmG+5TYx056kFcsIk8a7OkOxFUe8GbZEgq3fQVn/J2Rp/AW
sLeezAdRegfheFc6a/zYg9uunXXsNkuCcz4zXV/RqnpeRnKgpriqMsZDMdD0WDPZReCO4W/I+C3E
f75rs3IHNLstWtwkBiubnFbqDrxzYBXsK0dyKOhdcZ5H+DvnGtsU6ccKhtU2NN1y5/c0ZmjxrxQL
pqYww4a9Q3/E0lIlUFkTCaneAMuZcAvxCjjVM5nvvNE5+NMcTiYYyqynMHrN5T0rjbPlDPfuaIBm
h9TjnlOkU/YpW95la95gTt95A4ts2HJcOOFCI5sPlMBIOI5fM9feYHyNkX+DEYmy666ob1hjffNh
ugqq0n6DUHXjELDbVSuPAEIJKZxQ4h7Dw4iYodkHvBrDcTEQcEyr10XrOziKK0QH8h30k+ulmc/V
Gh/M+arObqHXhFhIi7CkxqWq55NudWgtelenQwRfW5AtZIMM4RZfgx3C/7J1uzkh0HuxEolXl4HC
BKdABj8sMi/WsjnX0sAUbTQbsweRkg/82urLSIx8OxssqhpyNY4aZiLxtR0smHHnED6Wd8RLw1SZ
UNaMMO3LN1W+NelwM/cYwZmx1QjIial+pK0XdUBL6GdFRFeFMNSdgX7hFXITB8Me5fONM/t3Zb5Y
kV+WXdBMxqZCMMyHwSBYaVewcwnz4X9oxQkrXKLbMoT8HLls9pEDzXaIe2znRT0aZr9fKLt1XfkI
HHTDR30Zqm9wSL+1hpGF5WwG8JEmwpVJl+qo4M6Ku0JuZxc4qI7NaN9YafVukh70sgEroRdIw9gS
f9yyjiRGBn8Cba5gpblX+KReimnSpTJOyXjojCHBq3jqfJaYdre3U40DtjGXuGBz3UVNm4LGcazX
aWge8aecZE6hN3UOSHxE5DD2TqGup69d3SGzQg5l3+wW4sWNhiNxVEWSEWwSmUzbELgX2RPX21j9
+KUa6ue+heFNeju4xGOZOWnY9GpbM7pDOLJBFNffmPn4OCnjS6PyG/Bhm9SZE5EOuHZ+zKHNeD3F
0+ltRjpe6qY8SDBIIxluS+Ft2ZyewcDsaqfaj6l5zBrYYepBJPCKXMvU2OEFC+TELrnyr2xzfpJu
CX8LIjz4Mqr7VLmXTnXnuqM3w8wNOJ262wGBjVFCxFQYh2taXpWU7xFsMYKp5Ee1LlRLA72lP1iI
A0sYPAaEmXJ7CrtpBT31IZX1vZJ6b1oIIlpOdiYpYjochsLbroP7AgbHvTKMYJkQzoTYSUj+DarQ
fd5X3s6aehH4Xv/kUGzqKwfTwAkmzG9uBWGnbx8Lle2A2s5Yb0VsqAJ5s+4A2xbeyxJG/8UwnzLa
ycS3i7tK9TB+zMWmsM3rvACJWfiIFjWTnVjM26awqk0WqeAZaSC8qNDjEw9NbUVFmcc0q69n7m7y
dEYmUn+TBFpgl3/tFQ0k9j+8AR1clKMXDwOPVUbqkAAhFD1cg9Aeohki30jYt3GkSSeMDR+9RBhz
jNgP1p8unwM+L8lc1Qfd84Pq6V1DoVEpsF81nDa9KEKSTWRfWw6e9RLvKeJdZrMrSX9cyPTUKfk6
MBXzHANLWs5HEFEqrAxsfx8g7U+MABhTPwyXvyFEDLbgt2EqWMsdfxwueyjWCo2T5GxUW5EXQVPc
kKz4hQ37xwn294O4SDXZMD/b1ievAayVhksdk5xn9qKmzTQ8zc07t6NqzH5xpJ8BXhttKb8faf0k
H4z5Tdpoc0lxJIudMmdVHc14WXaN+5APz6Jxf6NV4F35uY3ip1cPb9NanLlWln86MYs1A0vLhl+P
5LkfDi1/rcvXv79BPzsjoGWAZRxmdeH/eEap682Gr2V2DQ9CPm0w18dlhgwe3wjEE63+9PeH+8kZ
IciDoQUBL+Sv1naSjxdwrN3O0kYvrtE2EAgb+X6+kcUvzunHKMr35+GHg6w//3CXOszS1E1xkFzB
RaGucj+L/nunsZ7mhyOM/dKDAMcRlDy6kwyL5i71xC8OsoYH/k3M/Pk0Pt0aWehCjlUnrmdiBxkN
fXHtCNjevCcqQrc7W0P3iyP+7O6gZdnAd1e5Pore4Df6eFqFYJWoIe5fe+2lNThsmDsvff/nlw61
vwgLIdmCQNenS5dSm7hsVPl13WUxOAavbsKpvP/7g/zs0qFvEqlF27Q9GJt+PJFmyjxPiDnH/Xmq
3asMkyKI0sBPb3MUJIzoOEgvf3/E9Zn6fLM+HvHTzYIrw1fS1Pm1gTTp2H2xAaD+/gh/Cps4jJoe
Wn/WrzdAIG4d9z/ena5xYBKazeo6v0LIeYfN89iENKaX7IaGdSwSFpLk74/5swfi41l9OmQ2QqTs
5Zhfj26HMVkEFnh4q9n+/VF+fu0cXBLsnNSln+6Wu5iu11dGfp22PsIxB8b6X1y79ep/vjsOcjpI
Ha5fwvf5wZadJUzdkfzaw+irmQW0+SwciB55/otz+dkV+3ikTwscJuJGgWnNr036lrELTW/b5RfL
288PQZFIW/19cAH++BwIsxiZs/Diuq7PFCLSvDKWg/uLre5nrxAetj+O8unWF2rM4KbCUUTxWpJt
apNYOQkt4Nvtr0mxKekv7tGfTssyEKEyHAjvSP46nwVxy089WXlNed2Pm1Y9w3nXLjf/8EH7dIhP
VHc9clzQrC2vp6VGTotHOqe/uGx/epa/H+J72y0AD3i2H29OPs8VKTFpXXflK1l2KHn5xQH+9Cjj
AMyBSxOQhnnW97DXh60HS6cHbW6proHzqoGGWb4TOYCp//b9Wv1PG3T/99lL1nX1r1nZ9Suo/0zI
rr/zgZBFeBzdRCbCzL81ZvxByKJnwwesgW8Eng78F38QsqhvouBbDTQr4Yc/6jmo54OYAcuuBzxk
rMHof0DKIgH9w1qHILOHrzJCRRT8JQZisGsb68dtwgdDaBttTc/FWPID4VWb3s5zAZ3AtUSxmRwY
SbXnrKEnGsGYWe4cRSdIPYRuwSc1u0pb1XGaDB9cXskMKIhQLx1EkwK7gqcEAnQw5dA8C17viZ/T
o7e2Bs2lkSDVAG8txjJ/YW8Upn+kficepamzVKGb8UM9T4e8LhPCsBsLKx9u+rHbWePsPpeYeYIu
z/x4MvNNiajEYsvNZPGbFg6AyHD1AuU3H8O6UtsesVgfDQxeOlyEzc5Ly3bYW24F9E/SdI+EM3kA
I3loM38HIVXsTH96BF0dMpLdVha9RxJrDmzmZ8jz2vLW7PgTkNHOZjLOjfTJ9tGym6GyAzmSFHPZ
iPBHJvCZEbRA/mcMlZJrWM4/tDYEoUJZh6IrT20JrgWczrGtnK+IXJ77pX7vcaEDv2/CpZmw+6Ry
X3mFF1ZI/lGEMQ2wjGhtAS+61BhXrfzekzbSW57eLyl5ZCq76AnDf9bnu4Fjdmy9bol9sAYNq9Eu
ZaYukHuztab2qdB8UzQEsMBWS8I1VHYus9cOMetQS5NGNTo0XCL2JXwjmwrJp1qiPGnqET6BQ+1B
ppkT2+p9cLWxdQvXj1PewvtIEdfyzHcwkCC3fMQcy6FF1YcAm+C1d0wxckX8cltQdSkRbPFHBCmd
EaHhXiJ/y+simA2un3W97Bl3vnm0s+N8zH0wpcuTg+Igyp3n2VguLSN3ozKfJpnCQNBn77Dw6qSZ
Cj+WXX6qPL0tOhBEyjG7MB+mt5n5EAtNysNM8iS3hledYY+3qZ14Y/GK6A9+niupEqiA3QusStbV
TCnY6Qq0xabHl2pDHqDQGHD+7rbS5lzDxSHApI3w8XhB/525rrAaRMDN4LPbldou1iuO0FgBMa9H
jwYUeP87HZ6uzDgMFdlWgyxf8DJc9MqfF4RNF7ly6vNk7W07t0MHdLu98u7LysDnnNswhoCVt/G0
Beo7VV+Y2oidlb+vvjP5LfhxtrL73srzN0L0gUbtS2CMYzL11Ssz+Lkd4QvGInW0B0h3EH8vukPB
TFfmp9aFK8Ayv0yrxqAQk3mqYciHIwMBFDA8kblqEqzHA6lcu4hrkJ2jA+VkXjUMG/5eOE+ha1QW
bJLeqnWYEyoKKseJ4UX2Aw+CSAFhpFgVkmHVSobSNQJLdC8KMoppSwvSqdrV7mAHmOT3BG13e3NV
X5rvOgyr1bO1ajO0RtEY9Fs3cETbB/Wq4axW9wRh/Cpc+sV4bSH1IMqYJj5srfG06kD1MmNVKkq6
aapVL0JiYDMWbROYq4YkUrdCF1l6aP1sg8DdSeCNCif4tXJfXbIJZ20QmpgcjS2Ib4kq7ePGByGY
L+po2z4L5wzeLZvBVtaj/0d28LLlmU6qurpkVDiRyj0flDUq2viAsKk0NoIWT8aoNgPpbpcCzThl
qSrYslWMtM+xGxRP9FBlofDg8ZNy6w4diAvkdCnMAJEkJV7YogysI5urO/A+5ZWfjdc1rmjQOMKP
qwa2FN4aWwqbknbrZHLkYUjZ24wwZ4Dyo31fTHPMzXkD9f/2Pwjhu25rAOv+NUKIy/8TNerrt+bP
MGH9xd9hAvo6YdHwYTFFtQJCOB91WxPtras6C6oKm/7aafK77cP/1+oFhVXEQoLws24LYRjLDDXZ
ii0M95/ABADGzzCB4e9gQob9FFMl/u6PMKHl6UyJOXZnZO4eplqv7tE2IviGemxgnbpGVp9v68pt
HqkjexQEleAVPeLB5oSATEfGer9wBGtQTaJCI3W+FF3h4RVgOpSYxJLFAQ6o1lQtheAY9s7QYOn0
R7i8uukqz5dbpJHRnDezbO9K797v6h3PsjpxF1UGHm32YEj4Vtke+hXnL+nkrikTeauaTAfYwvyt
aYAPc8a72TYOCFqcGkg44JNSE5a73Ew0hatWTgSVTGKjW9gJm8U/5Lp8Sntr37uyQ9p5uDVGXia8
RZIc4pQRIH3y4qoCtpJ+lrCwUZ3AlPrmNu4bKmjyCPkLGPna8ejP9mNtNfVeDmUDnwX7il6DC5qs
mh0+5qtfV2dshwGzRw9crNs0D3OueYw+rU1hps2GSvcr7PQJb2A7T9Gxt9DqzS3NeIaHzWxKuUGj
4TfMqzeTW/AtrHYsqEYKhDAtS5QL4sYDmc/QF+xAcOtBpOw42in6SSyzQX4Ejr1aQm7La8xq47Sz
3f4ZWV5w2nbfbQYY15bFmdAmqR9YibTH9dzBtCL7eUFYgDng/NH19L4MGUUt4JjHXY46xWZGJMFZ
ynlTCbDmrcj9nWw1hJbCuodxXgQSCf2txVAyyQv7aTGgtVSw1w13g1vyU9/Xcr8YlUIykxRbSZt4
QlOa2aAgxoZROKiF7oLCEA9iohIZEMitNunzyOaQS6QrUYvWYEMipLnmUDADt+MbyzXu0OKwolL1
bRjmLSKPe2eocYl1FaX5/EVS8c1Dd1lKQEHXZgv+R/UV9qvhq1N1Oswd+4lY5TORNg1QFrrRvtME
Msu3lsFvW6/ponmAxmfZddAuLNF1EaFkFB1zxZWbemj/QA8PWkduK8A99HsyGJOZCxFJI05RABOj
m/PVdMkjhc1UZ/NNmfVXeiR3lGTPfVm+Zarwg3Ygh3ZWJ8NO7+c6P+ipwt1KrQde2XWYqfQOrROH
PscVkhZ3Elt6CEsw/wSW/yn1pnvXMGE45CV6QAmkVbQMvMApcTOp/MRXAJTC4Mu88TyZzo2tcS5V
Ki6qM3ewr4UOQ8WonCBATQdJKDSX/oFhSuA1RVSMouZu2drYvKQhWtRc6kdI4WyTc4LyVIH8A5Y5
VJK1BFE7jTxLiuaEcBTqUXXV3vbHY2Fbu8xYHoYa2asR0WQYLKedVOAy8cAihUbKG0S1XlCwgVxH
UapgcRmksNyOEb5g0PbRVYcGjSpBlnW7OBacyLLKkW+X4dyZCbOQRVtXXKxSZhMXznjdDAbaZGE2
SwZohtzQaMEz2q2BS4A16WJr95gP/issu3i2PPfectEx6LQ5LKSIFo1gxaNmXeJUtkQjN24tv05K
LwMDJrsq6JAL9IEet9WIOriyHyD59m7o4nkbFn5rGs6LVyE+wi12hOst3XBOSJJ35Q3aAhUycdC3
teW9WKg9iM26hLHAlbG2UVBQCeg2WEmTAvEV1S+gLdslD4Uy72ox1sFgeuJVZuTkImIdw611Mwnx
BU11Z+Vn24qy92Vupriv0wnSooGcXgtPg+go8QNkrqsvFQKQ/LhYXEOOH5sYRNCBMnXna3hkVeVZ
AcppnpsFEEM6ow1v3/KYjmje8Mbuxe1RtrsMCmx0ecq4ebZp+jx3w7s5DDCo1GpfwmwMGbaMh55e
hmI5Dj7aJ1xDNTj/NmblfGUQuGzUUBsBnVIjQPL6zp4R2kqNPUoOHnK0XAUFUhj4NMujX8zHrtUP
FQWGnvJrPA+4CPNwXxVoQqCZEfRrwnA06s3goZd49vvb2tYn0+32KEs5OMZ8X8OzkTr02uVdJH2n
Dhj+z+xkXuSVLjpXqYNNzgWVJnLAwtqweth23QgWm23d1luV9+iOBU5G3S2Kb1wbdhkTDkbXTMuN
CxvCsjBjRwoUG+RuFinRIMyBgtcdsmMCEng+xI0t67gwlAhgxzOh4IkE4df8N37oP7yNASrtr1HZ
f5VS1D9hbtbf+gDJoKTZ+FoTCz3acNx+sNLBMAcyDf9AOfIxFP4bkjF8Ayn+gdWNMoZIs/XRSof1
hHkekJzvw6f7zxro/tTThOZvC11jNsqL8DkRNfoRknEwe3lus/JMzPaJix5FEkP5Ymq6K82qDnKU
k3ZqiD1aYeDzksXmV75uTxOrkDRcfemVQOH1wEmovMFKODUSlCTfTmK0YuYhcTxyfWX0aeQS1EcK
s38QDGHD0iyvMgr7xUjUtiy6r5U7c6wxzrcUg0YoSYVdAGXOMxu/FUgphayArRWe5tjVI/ZLTPWx
MWBWgSFrjtBZ0Ife4A+hA7dI2De1TupGX1sa5gA47Q4DrFABWgsebTRQRSiT+NYY7h5ct4xaDJoB
H7sC+iOKVLPVReD514tvfhnTBRldhoE7y8gUlF6Pf3VzES4cU2VVcRQdp0jY9In2mjRoUecQWNP8
sGT8iKjNQabykOGcgkaDuqosC0tmgVWdV3FRW8fUtO5SXfZw9Q5VAHoN9XMdEk0SczvsHfa2srUI
Uya/MKoIOkk1RryQjq3gt/DXyGejnR70Cqh6ICu5QqxyBVs5mOwZ0R0BFFatcMwZKKbzCQ7nYQVr
GVBbBvRmtwj9DmI6EwhncVEMS2TRhcfLCvs4ishBaw03NhAhLQEe0dcSmmhhOTTu137+iqqaxAGe
7LTdbAb1f9k7r+a4rXSL/iK4EA4OgMfbOTejSOoFRUoUcs749XcdeuyRZHumfF+v3+xSMTQbfcL+
9l6bwHTXYCvAoFZ88owwv0/1tEzeo2D+Oozh3WzpmI27snAQrkLXfSXzevF5vvd6m+u7sTWLq1n7
3lVgUzhMno/mg095IMoB9Tpe6KEeLUPhTRcrnjkQRkU2MA9wnoZ8WDlRFp6tsXiHfmHu9CLwKtQE
F1D7P7fPj9ungp7+9Tp3em2a9/yPV0/1Vd+tc1jZdG6dH3UA6n75u0Jt/ELWgOso8Afr18XsNzYE
l1LiCVLnRmjYYAe5sP6WOKB7gDET3xGZmnMgRIm/oVAzQ/r56mnTFydoL2GUQZ+C99PVk9DeqJWF
HK7TYDXOOux9ePCdQsNj9Amh1/jHdk4CID6Y8ZJPJJqx6NMgGLX7co50UtNyTk7NR0gtHs125k5U
5gWn+hw79JdRDg53mLL253Ub1AhswVjvRmkE3jdPz4yWVF/T1Js2coS/8qd59lZpiQ8Tl53ma/O6
khh0ufwlA8f6uTAE554uGI01Xud6XlOoQ6LZdwljtVD9t52ecBIm1yXsx9TgrrfhfLePTIOFKZei
3cEixMpmTR3hM8sdNwGOMh0kXpy1azYWfQezXeFp3PQt8nO58oLB0HB+Tf1aS2u56FV432P4u9Az
LV70dm2/9Tb5sHnOrG0LLjlc2FUgtvYUfpODBpUgd7+hswsYmixwTsm/lRpsPq3v6u3oFMMxDLj/
ukrSCyJszmlbBYu01vI33XESNMIW+EsGJgL/qqaTfjLAo02RvnNrgQruD/mr4aZkJOciOJRwzm7E
RKQML55HtjB/T5zZ3mKCDTCu9WLbFC2Gq4b7fhI48VrYXXqT6B0hKxhSWdmzglfVgKOae2DgWu9h
oxU7u054LBRuIQtEta6LAISB1N4IvwU7OafdEm3X3YZAMZzBB7xhItA7GWOH1VBzsk1b09kWRdYc
UEHilQnw7czvTHFBIYuDCvlF5NxXTGwQHJ1huvU8394OXgGOSV17CwU7sGqSsENHSUE+1/yarvWc
5gmBjQquRV0LnZ0X5gLRGI7SJc6CrrDirZHK6jZAdFiMwdDeOhF6+DwZFdnAaUr2TWGmmxmS3brB
/7vA2FauR8PpFk3G8dgf82RnpHW4rPw42/2zbP4q2rFe/fWy+T8Zgl39x2VT56t+WzZVL4tjopQx
XjWR2Vi2vls2OTMKyQlN/zGnRZpCh5Cvw9XB0vSh5f22arq/mAbPjk62+4O24/ydVZPj6c+rJoEN
5EQ1JsSuRVfQj6fDorTnxJ58BLvUegDcfm829jETzW0yArkZehEesGEOmSF2xB2JMCeJv/F7CVp9
7PyFXhEWdyZ4IOS978hpzExMHGMxiFYumtm4bXVis8Lje+VOwSocl8beC3jmSwyytcPUb84Ld2EU
41mr9II1JgY9gy0c66Ltr5yWD3bamxpjm6G66Hn24LCfnJ1+zk+xyXWqkGZF0ImTiZk6W9EoNYLH
n8FgGJDVzB/CnDRuqmUlAl6zr0p747u4+pvEAGIhsncIqp+gT2p4nu1dYWn32kypil8151mB5mY7
eIMuTbWI3U3LmgswZQCxcTIC62sfvtbkGrxgVxTgcYYez3M1dwzrCLGj44zJypybcl1O8eswczoe
W7SkdjgYLZqIp/OC6t7fN7V7M2lMAaZ8rc2nrjUOpBs+27HcF3oskD6ga3iOfaqDGvjDODIFQxYp
RuOaSGTNQO/WyLK8JZbTcGkNmr2j1hCYkndmMIhbTwu/jGZ+2+QuSLnUSpeRERobsyqIoji9sbEk
N4DSL9p1mgDM95PBYIl2T6x9+6mLWMnqcBW7+d2YNJzU5s5YVxYQXLeZkE096KQ4SvAvV21/H7Q6
KA3Dewq0Il4UBDIqPSYs6jwIb37FH5FvsylZtJwWcU95q8LEulniqV6U4OQHvTeXsq0O6MvEb+tq
61lZvEx8I9dvStHm94AE+ME1chWR/VnUXyKljpq9dsMD/uoVUUHnAEPkMDGeayTVWmmrGvyZVTRY
7+PQvffONG0apcRWjevvAF2+MbTUgTSZ4TIh1reJkHBtM2iOmasfyJO8lIi8s1J77SLcFsi/1YTu
0+gMslulDRcJokjdNJc2nvn49A9h4L9VoePucguBI9aye58KpMVodk8V4nNSkUt3kaNx9qTcHiRN
FUjVMrBJ6OrhAUgTuxpyNt9zOFU4rSENFgUnD1kvP6iSOAWTjeGpN49DwFKXvmTSJp6aIq6JCHQs
+3T0HBqzw1KugYEJJyS2tKEhYx6b4jnQlRIfhvVNTAyLaFK1wlOM4tVln1wlIARtCMgPSaGhtok3
CJnBV4JDo6SHQokQjZIjig9hwuz2upIqKjfcOx/ihZIxKiVosCySIELjaJTYUaB6iLbaxaggcTG3
BHsQRspUM/ikIZYAnUQ2UQKKh5LSCoNhI/8BeuUmZrJZNP2jgfZi192hQIuhFea+V+LM3GRbzlkI
sZk/L3IUnB4lJ6JcA9pEeJOJ7jYJhk+u0nzQfqhR4Jqi5KAMXQgw8EGgE3GCe2hd9PpKSUjQoqyF
h6qUsH06SmbKJhfDWj2e/ZqWi3xK1+NgrB2zPJhKpJpQqwSqVYR6BX35Aiz6poodrrboW75vM0dA
8UpDLmWicsk4xNnnRslivhLI6Ap6KEJxVKfYdZ/y1EAHn5JPVhfbO7gd4BEw25rrsBg5ekTFry7N
fxQekxnVX2/hZ2BS7/X79MdNXH3dd5s4/haMcRj91AQNf9Z3mzhuGOyMUkJd+bjg/DZ2k6BiPCon
GNZ9BLR/28LtX2jToWMRg7Qp8cL9rbwkTp+ft3APOypbkGspBxFtPT9u4VmZCgzkrrxk1txvSqZm
q0J3XhyasQqnezJb+ZjMt4xbtmZlrM3Kve3a4NFP5wTspGMtSzINVT6d5Qnd/Ys1JI8ZQvrKsOp4
CxIVZZbZCI6bPcL4Tg9yimK6ggRmjXsE0sCS4dNnLe/LN6PNI/rL0mEdi8jfzEw6hgj7gx/Uhxxm
+SK2wqeMUEw+eS8zwZm0dGuQLtXrFCfEva3XWhrPYz+pHWA8tz2o6QmA66qs4mPXkUa0s6J/mnT3
M6Hy6JjjUlkbAzYSvYwfky79rE/OvBcZ6SeO+gQYkfQr83PfZBdAZMtJOveQShKuSZVX1As7Hh67
MHpxI419p3hqai048GleeQ0FYXl/MZikYQi9jFN0ARhOlqkGIRaFX4uyvULhqFjhhovHvsI+Z+4F
QjS+AoLmS9O8D4DMEC5rk5fKBGTBr7ilu45BgtGvUoEDoGVTXSaxSexF+IvCbppdL4EK+4NFxEM7
yawYdkXr9ICpuvVQxHdlI09SJ0IniGkv+zTdVUX6tSaUsWrNplyEiDS1nEMkpO5mgmSlx0SrdLgm
0PaIl0UkMNOcn5eSirIDHEJO/QbZIVrBhT6FEM4L4iQgLbyF2zkngi/XtPQuWSlWMuY+U0zxaQgQ
XQT6NjD9RSsUik23e8wUE8cwAmhLOfSYBBLBZuM0zRI3SYYTgbq5KQJ33Wbzjdc6r4Qa94FqqOka
smE0/ahI7i1iULN04MDJysJlE1dLBid3uZHFcAbrLZO0R5urTZWl9RptwT1VmrFP3eJcxuNnipg+
hU3zVlYuRJ1hAvUsZcEG1cXLqTayFXVy+35qi1VfJU9dVJd01uGtiMLs1m+EtUz6ccdFvtjUAWOs
eZLDIin2FpwwigDIDNK6U5TlVdThJpH61jZSUnPE78qewOuUWvfxnH9OjejYGsO5mE0Oj21+8Jv2
pGOAM7OOOZpe7t3efYubYO+FwVYKM11It3kYGgUR0Nix5F7Pi0NXi/dCyn2C90bT8895kz7KhBlj
Og8nYdVHqyvOXZ8oMREUT9ZvRz86iQ7wxzzsSq/YG8pYO4kdMbhDIIgM1pN1LNPhODT6DXj7dNPN
gLWRTAcHs1kj5g1VA1cGz6DWZ+cA2eiOeP4xifqdSBhYTWnWAYUyr0Kvz0HpEAbsCQrjZiJ6fN8U
zVMANNEf4zMox1UYTHe5nuqLhA99ktJSMERPQeJs7QAIo4zc/WTnW9kPyqfSnq0c6gvlFbeC7CKR
9dtM631OthVgpXqPweoZUowCo6XpyjO7uyG0Tx3qyGJ2mOHiXH2GN75zOkajU7syx1lbdgR8QTV9
nl1vO2gMrrxhk0b9S05fUmPr3+YmgJoQgWhp/OeIu5iC2gGnvzOjljyeO6QgZQqbtW+0LOB/2byu
ZXr0gu4kvGQ/th0jY3AOlBtcRZ8efejCC8JhZwoZSXB5+VvPSGmh1elF071tVXgXzmwxfO5xk1W6
sY5s41NkdKfREE9WotGOFd/P6i20XPutxDlVcKuhR+loBNrTqPdXC1iVnoyrEBL9Gl7Wq6mh3kdl
gH+uQuimEpJAlr3JuyDaVm72uaRBcAJGSnar3iVFvE2Y3oM4Mj6R+DxUTY/uHWML0m4h0htLUzw4
AWSfaH6LU+d+ttvglMOB2EP7vCszaKmq58yv0rWY7c9GKbeO6S+ENdi7uJUCv9Ro7hQtyjSD92QC
ckgOQz9OznQyaKHdGAa3Lz2ytk6FiYGHolyaIzFUGei7JuuemyG6r/L5NHXBg183u1xDnh8H91OO
2YLX/ID38Kmtwh5C+A0AzFWs90szlogk2bi1RXEd2uAh0mdwT7LfaSmB9dnd1w2sydTY1YHHn8a4
ahWg75DhLfe1e5pB3LUO8GLl1kOy6A2GgZY8Nyn7/TptGOCvu6GKPtlZ1LL4S+do5mSzMzftN2El
kZgIn0duz6dzPsEc4j5U85K4HoBKn7ZOkHs3LsNTAtJ9vp41DuEmAj8DiR5SU5e94RRZc7qLN+ww
ZNBdXJqlmXJmZxLwUeOgRauRhoVF0Xv9IU5HHBLa9C3nMmvzKV4k+AaWVlwbCxnR5Gan6VNfwMHS
J6nISm6+MaDva4ssltmyzoITkebymldG+xwbDvQQe661TecO9m0zYKVM3Rlf3pAKFxgUDsV1Oczp
Cvz1CXzBoS+jG9NNNmKMOfjOn/AB3wVVfewqmhAcHAVmipUNN8SzP1A7QH5xXRuQSPtk3HbCR/pq
27eewlMjcV+Eb537gSw9NZhZ129aHzaR1TyUOqMg1wlfWVk/6Va9A/5w1e3x3Y+tYzbzZ/LgkvEg
FViGrOdyto8MCM7wG62lpGMjTslwlgRQO7boeiKQLWv/Guv2Ciz4XduAD3OyeV8G8mSP0c6oZ0Cc
5T7zhoVd6MmK2XnAyN269YbsvqUrEMbjtMry/IEmzXyZaclRj4a9rmtnBnhLjkJbc6z2nNe3WhLu
A6c6BmX7JIV1BJh3qC12WsvdJG75xY/ndZwEt6PPSWEiDzz74brGAGtX7XsWeictB8fGQzeO3bHz
0i+Yu4NF4+VIAdFdbdKaa0KwEvG0sDK5C0f9vlGsqTbXtCVlSJiwme/Qt+f3wcpTvXad1+AoNHZZ
Zz4T8VimMTVNoNWWFs5KjhYV5SS4sKY0eU4B2ge4XjGywPVKSIHAtd1rZfwJEXNrufMNt/MQ47Lx
MEFOteLyqTCkTtwd34TWR1/9uuCiGsPIa0PrMtj6xQ8sLLitXBMnWAvf2cZetPci3dsEgX/sk/m9
nOxLWxrqLgXDQJo8LEEx2MvBdfAZ4C9e+5N0r4VRHHLBvDt1Jb2H+m0qMGFhLFpqgbVpGkAQvg3E
uG4IhYaTfLEHaAseKw3Z2fE0ji4qwFA8gYy7LTX5Ypqxvymj6lnnco0C3G2Spk8JuvKqXR8ujlp6
KuVVLXA/BDX+F7tMzmCNN0mgzVfNrI+lEVTg9ZtxVdXZt94YkZ6nKl8J/m9K6KTtq/sgGmm8mbP9
4ODintruNNdq17bF82jwQYt1N1jVI/n1ahK0MkWXBMC/iAUX6XBuTliWVSee9cSUk+YfHCZek77A
uRA79XGXlFDCvmA3T+reenFDPAqluDWGMTp5Fp3CRrkPSv3BDDjRFDaeiKHbBnqx0rPkVAU61gaB
2dPOvnUuSgSVP+vAch+SFmmijY9JLzlnYvZszPYZqfnOG7H/5qVziY0A43SMdUVMOPDjT1XqvYjR
ukNkLI62FedYbSVNf614mTNv7zWGtqSIMd/mPd9Yq4xNYUTtirKofhenKUoUjJV4GYhMt+5p9TK5
RtS1JjB2TMJEArKktjaNCAjz38sIKbCWxBsJ1dNg5o5S9eMFyox0fTTNPLrGJZGX/NyAYPL+5Wv9
y9Ttj+Mp918/RBqCRiqC8o66xX2XsEn8sba0pomu+rTX8rPOdEUTD+3w8N3t9ebX9Nn3jPSfkkK/
/hhHChRiW9CY9pOe62PO5Bagc3A3vw3Fo2b9l+j1n3x/1GwDz6jKVNk//60ab8J0KLP0mg88aDvX
f/3bv7+DUs5fiD+UIgr9+GcKnBydzAZPjAMts2/sf7Uo/uXboKaA32X2/vD3+em9FjIxQrCSEVPo
rZYtE2NTOysRLcb3NF7955fyJz9K0epVsMomgej99FakbqDPqL7JFcg3OfgWNxpTIrFkG9bKX+fW
f/my1K/908v64W1Rvtzvni7diGhckmmKSWDp0ePMvatdsaZO/ebvv6jv3/+fXlTuxB7x8V9/kBWt
gLSP4YZ9RG3F5X951tQv/fOL8lQq3mV3pI9AhQm/e1GWjROWjTe/NlTjpK/9SL/1l//8cv7scf7u
R/z8uM2NzVnJ1vNr7r7G/ovQ/g+PM/VoNCgTtjEoQfjxJcRVardCM/Mrlla4fGiR/4fFS0XAJGYi
5UKC2/fDHynXcs730kAKd14H59LhddHb+//8V/qzJ5mH2MHHZCkrE+Ot798IL8zKnP6z7ApZBMaR
Wy0M+7avFwXoU+u/PMl/8rNwopuEuB3CP+hPP/4srCuIbLGdX0N1p15HCrK0dqpFwRnr7uNl/SN5
Kg/aX0ue1Kq+9u/1a/NHzVN94XeaJyxptkaOqSoawJv+u+ap/wJ1w0YR5XSn0rzf+9psXYmkVBeC
l/vB1+b8woeYsSVqKWrl34wa/Eki0SXyqAwpH5Q6z/npocwDl9KE3i2uup4Gu5KOjDDAVlVbwxG7
5rQcOrM5wSkttpY+o52P3U0eC+og8uytFmaxarRmx2zAXntWDdhnkBzGRFgtUS9mJjaDyTHT1RZO
JWdOjmN2UwXeU8htadnXlrUkWHakP+tU22LnFh54Ig3G1VTCmgtI5VXuea4nHFFF0u+6tD0EWYzF
WdiH2cXkHgjnTFzjMbBBN7aRy1XDSYC2RkxM61fTFjk1RcGnPrPLxUCdJQVuCIFJP59l7jyNPj1f
nDOevbR4kmN/9BLjNDjpg2Zn59aFHUGl02Ne44HVDKr5/OHozOIu55aJlvBiRuMyqIINw1kH8195
Kp3i2URBtsKM9nAbOu3I4ISH4rVNGXnkIy4MzWnXEeLiAjYn6OB6lKQOqwncV96t+76faGdkhRhG
/CmBtStC7gRM2y5DyngmmAdjayftJpYVQ8Sew3RigKcx5xvLl1/MtnxIumkzuJQKWAGYGyGxtGf4
XRAvfKe5kZ3zGFY+zg8xPcsIH57y8q+YakO3yqNiY+HxX+V4M9p6vq3H3OHamx5GAxv8nFET1ZqP
MqwNaq1MfykL7xr3jnlJfWc3urjxL5y3JZNbKiGPcorjpcloL3J6bHUVFU7tHK9bInTbunOfQ0mz
BzE4DC5FtMVEmS+SrPhCc3qxilusbOjsNG9T0KRTHtNOu4ioA27C+K2urXfHNt9pnwl2QSUuqtxq
7HHJTHqfrYmRiE+WndDjB04A62G0LPLqkNlyn9rG2e7CTe0GjP0oE1xP42hC95LT1v0w3eV2166H
XruNyuGrNydDvQSHFy91ZqhzJUBQMVUVWmUuK+asnlSzO9NnLg+IcSWEuzPVaLaox1dq7hBRuPU2
2VpXUFUeXaV0PRUWpvRQDXmpOamQuIJxnTgd0FaqnKitYCzcpoz6LTu987h/StMn4ccMOffkye8b
Y5Gp8XIaxHwunLRbu9gBNpYaQ3NA1zeaGk3ruLaPE9Nqn6m1pcbXLXNsHEJYtCgvBCDFawlbUE3a
zDRScGvhoHUl7AFVTQ3HrbC88ZmWh5mur0o1QJdM0tNcfm6ZrDfFbSQEaihDd9fN/P0oi8vI0GJB
afzBM4uvokmZDDOyz0RWrh0SSCtt1JJVqSb7g638DJUdrBQ7jcFrPH82lRUAIEyMBWdgxwKyVvk8
Bn3mv+IDIy0wVWdfuQpy7AUjN7ecQyik2/CTFiTv3LPNhZlDlSqRxxoPx61yK5A6sCj9Sh8AUn/z
lKUhGHnuLOVyKMj0inGuFlrJCLUPqvykmaN9NvBHaFFWXRiiaKr2E5HGm/3VqAwVnQ9MMagxWYRD
f4YS5jL8x4CRetF9WPM02yIw9lx0Qy7qvONUDVLYO823hV9KsLvklon8zgis2p1V1aSn+Ukg5Igy
a8oQAvvV36Cvx+DLWrHDP08FUXhIaObEllrdZkoOwWGi+/oDWdhiRcc95DxGmtYHAr75wMGXo1E/
J57dDGuJtSteNp0a/vTAYtseoYHZvJ+vqjhqXlwvCMX/y5Z1NuR/F6YT2AcbKzho/fWZ4L59zaOG
9PmfHArUV353KFC7OvdLUypnEkfy3w8FEKnVhi8gPtk/HwpwGEGYwWhkfkw8/20CdahvFyQa4bRI
j3Ho38ofko/ldPjvKwOYAqLC3E2x1AMJ5IaqTpffXRk0V7OSekyLazehx55js7TjC2eR2Fy3bZbe
OFHVt9DQ7ItdVjdd6H4RQYhEaWYPvUHiLjOyU2XWL+lUHNImv4uyaNVqJlG82D+7tn0uR2qhc4fW
JYsFrm4SMEDD0xzn7zRFjGi0JlWwiSxuGa9tjEywnc7povNDrECi49Pbxue201jKXKK9Vp8bb6bG
Z40y33QzBL1r7Al/1tHBTGRL7N7QOIzoPRkSCkqtWC58TbfKhezLvRM52bZyvINEshUPlt/imvaz
Ie5W3scno1Yfklh9XLqPT07/66eIz5Pz8clKPz5lVKFrTDxVK0OS46taVx9tDWw6WKmQft46Sc3u
kOZPjqp3aMNh634UPtD8gGUIj5Yqg4hVLYSaSZG1qZZm0wocXhGwFY4gIW0Shd8/mrRLaPW8J/B5
1zvZMidAKKZ81dNGMQ721etR8l16Ktij76Ymei214khdhUahVXfuVLWFA48SAijLt2fc9Z22l7Rg
5H51cWnFMC08+NqwQ1Y60IW5C2jPgOF9yczx0hVMOqfmzqMwgInBY+L1q5D2Dd8IrjKEKVGl5X1K
P4eTR/h29e1Ab0fdgvIch31Mn0fmMEml38NzmwPJxm7pZmhlsfctJxcmaASxUD0HnKOipF2iaFCj
mxsvaV9qmkQUE7SkWSSneWUuEDewTXn2TP+62DU0kcxDce6RB2lyu/BeLst42Hg0l8R+cWloMkES
2XQ0m8R2vC2l/tm06XOk+YRIwFtQQBFUb33geA+CEw7NSFuXzhRiuC3qr07nCY3FVXypGatVtKy0
s/Zo07qSxuodpoelTLJ9Qy+LSyzAo6fFE82yz9MnWJOP5F/vWvpc/NI+EUremPS86HHP1HLiyEkD
TM8vsaRnEl6BwSYPi8HhlEUUMaA7RovGI+GAPfh2zmBT/V475h2Rr7ta1c74QW/fOna9jeRAJY0v
zpNtcoZM9XhPxxGc8sgsLAK3PX8ve6yuEPkYX/BIdTh8077Rlgzgy1XZeF+nYLxAsFyJzDo5EQJ7
1crVyGCBLdRZWVX1mYwjj58lqeD2t2MFp1Sz/M/kgs+Dh4jhZt1DQnWupXFPT0RLLpCoGmxVbtRW
BtVXC+txWfZaTmDQOPtC3Ik6qpcMBnExjbzjoCdu4lLbNoKab8wLuzJM8DE2qKTVaJzbuNtiMlbN
8RwzYbTzdPBuKXuU1zU3ECCmZS6ao2lxxQin5phmyFR+crIqhTkY4JpVl9LkWD1U2ZdSZLwZs7Yy
B5C1sQ+5I2rlrZ26+4J446ouYDDkCY4of6Z+R2PkUugmJKwQ5EoclacsSslZt9oyM4vn1lH8FhO6
rJbNl86gWiWJvkqr4uDnmjsAmiAmIkKKedzfydz81EK91Ww8bFqXbujzKTm3DWcb4jZwB1YAeEXl
0ithrJiV33GFKatN3E2nojKGhbSiK4XMj73sKKUJx4dA2jzvVKbnFN31bnL16dzmpJnRiFLHj16f
5YDqQg++gzacZkDIx9CWyfIfPeBj79eRvf5676fGvmvQtX4+Maiv+n3fN35x8LOzV5sfdib21d/3
fRM7k62jcKLsfxRHfMcdIN7DP2ExZmPm4v/vfZ/8G2oV8g5tuL8eJP5G+MNUcbkf933H0QmaUMjF
r+BiqP5x3x8HP6Ai2hfXZC6daT/LIrPe+tBq/Sv1w+CYKfrUTORq1dHWhfeTCARJUFFyZez0BbQb
PlVplaw7rxWrxs70nT4kdPaNFs2cffFqTHOwpGzvda4Y92RW2LD5Sz6iAe3PfnwTV3TuBsA9aESh
RcWl99edZqKnHo2i5Nt8aqySfjFoWb8OgcAyw2+PiHVEZ53oqTckxCHsEGlWE4df5f28BVHCnUTP
cFDExe2MeZGAwZ7LDzPSFCioCY586dFETJPg/OrF9a2UpOQ7WgxxLZo3pt6m507MxYay73xlgvxc
RU31zfKD1y4mTpcBDG6ndy7s9mqyq3UPPX+VMuUfTfFU5gH+VpSEnWhy5saW4lGWRJqtApEFS0W9
NPrxaM1RvDbr+R2k6KYr+iNEpK3h0F5RFtvGatZ1XaxoduxpUcQCxIjqvSXWzTrLSBSIy2xhBsOl
ZYNPBrJAVkb1ilGN56qOvDQtdxmleWMRP6TQYQj635a1fgwp16NdmI5qO7vteUs71b+nj1Gdb1vN
cDeuLA+Gnb1Bg8Tr7PgnTlAnGuNz1cCUywNCVX1rjHrpf47rNDDXjVUE+a02t1O5zQyqlQI90Z8p
zGCtlhB/KHWjKBIEUAQLyGvCjWN6ASNK/jmCF8R1GHCQQghleIjaKbyI3HfXqEbTpoI3NGjEgIhe
v0jde2jn8dbojc8WhCLMXC+RQhZJBS9yoBhF5ngYFNYoDWEk4XMDJ89YHUJbv7DJmcfQkKBd7xyF
R+rgJE0KmESVD/arwL36CqZELg4jqr3qQiwLtgIutQq9NDvfjLgQlMO3n3oFZ8LYZa5SeE2JAjfZ
EJxIN23HEqRTreBOWhF+CZJqXqbdNG/cAWs+tIktXPiXCFJRoSBRucJFuew+pQJItQolZdCCPSq4
FMVMNxO0qbrVoXFgbIjhUFGUFayRtB386biDYVXRa72DlOzg+mPGy81vgeC87BTgKpTJtwbiVQn5
qm8o+0xxJidTfMGvfSwVJAsp55gPqbMwFUArxtZbK6RW3ALXqkbqsJlEw22GvJXjOJgxznD63+uQ
uSyF6Jo1CCBaCLYL+/+jA8drJGygw/WqFOCrhPQ1j7iaFPrLL5pnSa+oARNMw5sVwgjTvOY21OV7
KeZLBkMMTla3nCVYsVIBxnpIY31PLyfksaCLtrVCkSUKSsanR35u4JSFCljmf6DLYJjRfXuUOBTW
/2xtv15rGRr99dZ2H+HloHjmj5ub4Ou+29xgnxoGUWz8drbapn7f3KxfuOSCz1PsO4bD/NNvyUaT
MhR6rXWgOa7Ss9Gf/2XwpSflI+3tshnptEXCVP0bmxuchp83N0FDC6q5ch5LfpWfNjfDp9AnqWVx
M9a6s8l7MdB6JHAXimEXOlSScTzGqkFl7JUXoR/1lCUMN5CT4I3Ui2egU80Z9iuVopZVAauVYmeP
XXMZEr/8WiKvbZ20j05h6mAgC0jkLUtPw9SaGdp409RZe63iWLxoumw3hk/UaUmJMp6g3M9ZOkrv
K/y7u2lM7WtgGNrB5EpNUb3MHlt3sl/omqjvB9Puzm0TEn3oVKjS6TR0THsqPlmdjmfWasz3ggDf
s62n+S6waU6k0KN57TlAAN53o7VTs7U48YDXKOzL2wGDQdphIA2ioFz10Ef6K8Rz0X/BNYeN3mCQ
PI2btki6rTFz5X6HjBaHALbVUknLfV6DuaFhyoFjFVLL4SGYUZ0Ega61Zme4uBTGcuULRDgKXMDY
UYgS9OWgrUiGpNFRajmu1ahLpzdMkVW2Ngdv41X++CKH1Hol0EMmmzKHfBOE0j5M0O/uqR2fXy14
AeQUsB0cg4H4JXEBD05XH7zxJEVLPZ/nV78J53f8XM+1Vm3yIDpoCheTGbJfDnZd7rRyCAzo+B3d
0xMFAIHRTqekGGnya+FaLED5aykSeRBtmqxFMKh6JEWaLp6EE6X71DMeraQKCZFW1FvoA3uLW7c7
GTfy3g3LbN9qrfdY6pW8jF6lE9os1Hbd2iCpMdi8Y5Xx3jQHGDyKBjQems1j19BWddszPNC0Zlxz
nKraFa5U6iqhJ+6n0s/vpOFiW9Nn+TmYDWc1e078yDAjPjmxiM+NVsUvFGrDbp7xDDbJXLzM3agd
eXip4HPyAaBd7T8zihwec3buNcW/0T2XzPIm7FOSMcxYCV4JwYW+afCusbWG7boZ7WYVYJh0FHhG
7szefPckMMHUOjjjYN1ilcPpoxfSeC+Lct5UEeUqXtng1h7Yhf5Ziz/WYrU6/i9759EcN5JG278y
8fZQwCWQWLxNAeVZZNGL3CBIkYL3Hr/+HUiPaknT3RO978XMRl0sskzmZ+4992/O4pf8Pxdd1Pzn
6jWi+vvvI3l5+MeRDOcMcwRQMkdXpSNNWpEfRzJmc2Z7ZE3hkPzO2/gwXGCscHiM5B+YAwqHR314
LsxPHKE8DHyp842c9k+OZH7Or90GgVk0GUBZ+Xnogn9bPda6QbVm2cEVkizsUcTc/K9IAK6fX55j
0QtJQ/KD+GizCeeP+rWjyaAXOWU6jZdopvd52DkbNEpxvbGz8TQauNFhJU7NljA8JIFKWccrrZXi
lk0ak3VJe36ya9tp9jlTsFNXK5KevDOs6mRZCpkPZoOfAt+EZs/rZlDXRTmo5S4hk2iN5krdjmM1
bzFH6+uB5IIttFMCXIsh3hpWqa7y3jrHdr5Q9jMih4qAEY4SEJoUMHZQtnmG7uU2r+fwa0YhtjG+
q7Zkoypr57uay2GvqK41phjaOvwm+QLihfyLGNnquh35LSLyb2YYnJyh4Wej1I4hBfgKoyZbVOTX
Rl9tkbxcDJ2lsdpSLrkVHkRi3FVOc1ujxQ3y/sESEE6kBawxicyLqjbXeL4v0DzvNSDUSOS7yGOr
chy0FAhlBkIqKEgUGzF/ofGdi+lQC/WpjGP04OkyACSzvI6seEd87UU3qq/Up9MxLElnMsHRrmSq
vYdpQaKJ46ynwopXrQP8JzCNbNOOo9jmhj8fWRIfe1/Zjlmya5Uo2FKR1l5kgFWdy3U1RKdsEMba
N/BQkFm8ned679fRzYJT2cY5zRyZPuT2QiQJ4GzlzViv6zC7Ler2GDKvXCkwUr5MPTviqQ4GV9Wt
zVjyUR21aG2aME7IFibHgt1XWZ0GE9eORqoMwyDpQqthVxnE4laYE2Pv0UQsnzP9yX1H9zIfi546
tafKYqEUOCjzE0TORaq+m1b3pqFz3taplR0NhwHQKkxEdF3mMvO00YwEml8yUWwqBCeJtW0j1S+J
EtKsK5etZt8zZdymoW8tc0JCh6XbGdrFnMnrPs83Tqx7ce2vFxVhZg3JDnX+Vg6tTvYWL7zI7V2j
9o/c9CDW2M5BKH2erf5UqCino3o8iFQ9z/zQXstP2UKSM2EslMqL3mjvijLuC3O+MAh+dOyH0X8u
5HxAIiw3gti12hb31awhGWfaSUhv18r2aKKfFPp0DvxYcw2m9Ss/cZ7oJaH8Wo5XD9oFPCh6RPOK
e5ZssNCFPAN/Zq42dqjcybG5N5MeximCfhEGZ7OH7ADpfaKHxEJSJHthq8Sd9dpDqYR37CrvcQZi
lx42SwS0bo+HylEOIzoECMfWoYqdbWox05N24xmF1u3NzmxvzCE+8PcdRaw+E2KLBNVIybMpMLHo
Rgn81hyT3ahk+lNBifO5kQUzzXGa/Pus9ZObkeU7aeAQBE2AiyscO6FXKYv0fuEeA3PvVpUOSGPg
a3HRg8S7ZORAXZRibG7crrSWb5gm7GJVOUvSceXL19lC8sr87kFpdGvdNxYp3aWPu7SEj2M6DA1C
AuX6qUuP1DZggnRx06qkLRjVUHkB+XIrTYuPiLJvszLBczFgre7LJtiwuf5sWfhwrN4DfMfgfWxy
uv3UOvkgI9bjDKqW7cyrCaN/ZcEY5Cvn8B6JOzUoE17HKdkGU3ARZ0DvpsS/Rgj72o2OG/sMg2Ks
5uxfbn2Ld9konynL13MR7/q4/WrXw1Uq5ngTsOtZGUP6RF+3CS37GWf8CjIia2MNkJJPF71qcWKv
4qXE8Zm9UG9jt1jHlf6WYXzblmiW47x/AryIqaHFphR1z2xUNmXN25wMMPfsRy1vHkSXPwqtAIU4
xrdjOl3kzrBrK6gayhA/BuG0jwa+ouN46qnxg4xQKSiGN207X4nGehpDcVnEpivN/nFg5qwNiH5t
PIS9yWJgVBe+prPOreR5rpaIkNjamjERbGOKf6GV0T5oxnAdGmRtxMK6ZUPMK5hqkJ1z+67qo0Nr
WK1L0tATNwFB5EXC5yc/Yy9pd0UcPApCpFaGWu9EZqw5bjzCqzEC8ddnoX2BA21XJwFeefHklL3n
E4lUMhqmi9slGSmv2NtBLiUvLP08MUSIbGasYZ3/orbJgdfai2aoy47uHMxuum5KlV/TbA6xquxq
YT37WLF6gutN5Ay4gT0pxbxhhMMSMArPqjl+9dVBYIXKn1WTWbo+Ryd4pdvKr+6yvJ3ZdxQ70h+r
HYFji8HFYLyhY0qKni0Y4WpN3rWuF+0mz1QNsK45nFWdAZrEXbZOZP05V8Ngo6jyimlDAWWmqo6N
Zgds2MZsIyzrSwS1wCMxRfk8lBafl3kRdDKzWhkw8t7Ip7Q93chCcHKTfhrC5h+GqixaWdayukUV
AohYs5a+9KdlqpYILctyX7mMY9wtD4nzaortTyXg+ftm9me5Ml33T5XUN1X0L0+xVFo/PcXEp9hK
Op5CpQ+x7KuuvCJf5e+fY5Gk/rET/ngOEETUhpB6jN/+DF3vpmxwouBKBZ0l7auZbeN4R7jk3z/N
r6vn70+D5BrUBypMpNe/KYuDIsZNm/TBVYdRrCJOvcERo1T3nXkeesw5DaYg8V0h+6+CcQml+utW
4vKl/JN9xfKYj/5BZzqD1p73g0Hs96XEj/5B/wTtDDUbrcCSFsX7+NE/yE/LAIgQ7P+/lWDQ8tE/
yE/Q8xz+xRAwlpdVxj8Y6aCf/OUziU5hcYWjoyZhlS8Y+oxfP/d11WSm6PX5qiyBfmqYJNhoMwso
xXSvxdXWX5QJA2eYX3avagdTYKHnqaN5bISfesTLsxSrPFVMJzGT3ibIsmTC3zKviK6sKN1Mvjyj
i2S/qHU6NaW6Zep4GgxxUWTFVgbOrot1LFG5SX2ME7wOUAK11nBriaLbtAZFkZWDcnIY+/dmcLKt
pERtlPgrWYn1xCQAF5q6zYxorzK8d0tdPpAwcMa6dCUcEvO6OmfmbvTpQ4JEzR8T9ovCuU7j4Jap
h5uzNmLrQORskBaqN7UmorgghrnSlS95y/NMot/OSk3fDxNPsTAwKQlgY+RBHmqtcE1lrbYI4MpD
pwbJWi8H6J2QEL0EDWeUslCs0ldmrl478auXPXjiCmymW5jxdpxZUdhquCEDYFfnOVVY67hVA2LT
TLW9PhVHQ02jg6aIg49bnUm2Wrp+gic6KQrXGazbSouQKDI0cfG+81c4tXklU2ufD+yTYEJbK9GI
dI/B+NJKDFSnOVdh6z83gbyLFeIWI8XYmZP/rpoqzFxSCOF3Z6ye4oEsJGbqimkiovRRJtBj3eHm
RsE3ij1qw9Ezg/JG09IdmBjbDZFSUsY0lVtEjb/Hf81CS4VyVcbOJsLQtJ7DaAKTDblLBMmXWsNi
1lfLTkaZ9RunYvM/i2QdChltFVULPaXV1E3/LasjZSlMWq4Pm2SJ8ggWzMygyGRfkvMx2qB8+yX6
A3dNvG0LkVa7ugkK/1YOUjloVvgGBQb6P7XxYUYQAtK23tdVcIfhnGau1XemAgccBfu6CTux7mlM
ZJ8Xx1zWp6bJvhZjXsOGHo7q2H8uG+aT1hw9dDqL6Yi8FLf3y889ncSa7cNFl48XWaaabi3j67mV
vVsUpDEM4pQvfGVfeWgHTXXNYd6hDOK3DswrG9ZzJ0m+jWKSQsykWDlJs41t/SJlHcEmoH2eS/+q
V5N7VAKk4wh/H+iV2KJ0y9xYQx1ax0WzicL8xVETuIuKO6YB6yjHOeWps2uxGLiDrbxFfnRfKFPl
BkrAgkJX34yofOgT6dE6T6uawO6XvhZrRVOeehNj5tBKmIdV72qIma6txHyGBbbUCG/23BwxD17O
mnkMopliqBBXI/yaU15nxJzg0C1t62iMtVvXeAAVPbzpA5V9fzSRhXCXKGtzkscyImCijxuQ2BT9
eancRb2tweVNr8nLVly9qJ9Kpb2Jrc53MeOeQ4GE0DJazxh8L2P1pyjWbl7Cs1sfsz6AJcetE6r/
0DnRge3tPrmC3Oh2Ju86QoVjbxOPkWTzM+O3dtOy7bTkDjMwKkQlpvTpq4tumPdOGb2SmAwGTdM8
ye29KqP4tk3Fq1MTf9qNYOryyn4IlDZ3tcznS1yAaTeY9WUVZyGpJ9DEm1yfsu9Rg//euCpX0F/f
uOiM2/rlP27RtH9y8y6P/XHzap9IfER7jq0GIKNkrvXTzUskgPggl1m/3LzYfHD4CFi136/XHzev
zQYGZR3X5FK+LZLDf3Dz6uqyLPmjGlxuXlYp+O9wZtGHf7M1/FxxOpk9O3kv+is2HoC/3boqgEOP
mnnIaeUgPbC2mOIA9fWoXMgcDW4sMhb3Ma7THGih1sZ33BbHRI63vTpeTD5ssDK0nFU3yJlWbT44
UfswZNOlnRl7EZFGAFx1VS0E13FkD4rmZQSrG81ojjPcrmgXkELZzrjFVvDVkEHrDg0uSzVKSD2I
UJmRHMBaQpqbLo4lK2y+yOygnyYLbFCTmtPaaWHSq3V5xxSmW5mdoqOv5+YsZ9WdhnZlBpwide4/
Mvj3Wt0CZNbgEouGV4t5RuxXmUdK4BdgReDVreizVY2QtW2Si0bGMLjaV0qhf+a43EobeRuEkk3I
cndlNNlOt4hm7guJkC3LvMns61XEoGQq/NesHa/UgkMT5f8Tnt/IzUyib5NxL8MAX/o41F7dK8TO
B+VboJrcKFr+uSxQKLHaNTy/a98tXycoOZleolL4RxQYNlt/nbiTwForudRu9MauPbPw4UhQDkKI
GsE9DMlRE1WPRLiHCI74r90UpDzNbD8WF3KBZMlQicUe57UMUSoHzgw7V8+bE3SZ0UvYfsN+iEpK
DcxtrWUTDtQk4VqJCpT3auQTgt1ER1Ty6VY6Q3uri35+GOYeuLuaku3UpOppsjJ4ykOSPBU1hKnI
ti3uqiy7aWqtOocYufdSq8eLygG3QytaHHQLXfVy88cXwDCZiSjFSEc5446dMyKLR1A10huEUu1z
Xb1OCofpaTiU9+rEC7/1CXt9VlD1fTUl6vrM0XUukamj3ZTulDG9aOKSdeHM5dLU0VFr9BO5PLzq
AyVicNHk1ZPacIYrVXdZh/mw8/12KZRAFXRG4WxswcYdruSl2ertpspUwCh1u66gYPg+4vQkZdqZ
G2R4W72Te7OZaF6hycizswmUToc0f61Ht3ACyi31U3IqHCmPCZk8D04m5d5CqgQuVfW3TCjhUiv1
11FnKJeVsTfKKfq3ffou9jboo//6ML9lE7N6r/OX+i3K/2wRw6M/jnPNRKCNlnpRVX2Tdf9xnGsY
ulT6qIVFSbu7eMc+GinBv7Bqc2hzPmTiH42UQYANijD04NYi/Abj+w+Oc+3bquXn4xw3Nd2TZYP9
JcgGYuavjZRD3EzpaEZ4qSRS90QP/FbOk7G3esI4+e5PQIqqtoYxwkKW9V9CIAozuKqJOeWTeO0w
KlQv81o3vbwqAyb/Fh/3a6AjxfQC2VsDfBiwC4HsOKY9VeOqMqQ0Rs+wlny6xNaqGRCEUwfNtiVt
IryVLbqtWlAQoWYEG0ZmyRzfZUXa3zN6j3U3BXR+G2qk4q70OA43ZZkyRWzTZjeFUblKRWc/5FpP
5sXE8uShzBzUKYYo58k1c2ZAKEqrHDt8Kc9G0pdPRsbWVBGl2GFCZbiv9al/hVwukESuxNGJzkCS
AO7PENdlZPmuU+ishdTMzYy4w4luZ5e2lfc3KMdgUXSJbqKZynGtKb5wu7SSz3qeAVpwWqeYV33d
WaCLZSRsyt/UvkFwVczEZ2XRLq3t+UumKwb4H3NqcndSKe70TeeImLmVaXQAlWRvtFtR84Y0XjQq
/RNwGk1bJz04XDPWujBHVh36s7UGoTT3YDEHDCLOzgkk/9lU1sHWVtuZoPg+fjacvLl27MbexKml
OQAOzfAuG8pLx2jK4VwovJrnXAl60MiNWmRu4BddhehG6/wrGenxU5I2+t3odCnpWtyGWHxyNUp3
qpGz2FZk6cf7SqvjkXy9yBzerUEG7w6suG3XGj5AoRA1Q+SAxcBPyOxewU+eyKj5jOyorK8qRUHc
hUnn2xf23zJ0SYz665Pr9PKGcZXTiei7dtq//d//8/28Wx7148Qi7UpnZGlyIjjfDpg/ClD1k2Am
ZCKlodhczCY/TiyqTNvmsjExmhKr9DOn3PrEIcaRxQMMIHv/LEnz98UuBaikKccNY3BgLYCGZTT0
08iTBntq9Bbbge9kG3vKOKCab5TK+tJo00eyAZBTtI43R9PB9qeMbWpwSotuxyr63VT6yh0cAlqN
oXHhQx/HwvFXsxOfcnKVPU1RrvMoYo9SgO+RWfpA1bUw69hHmlH5Reu4SVvZXbYMVXqtf0Jxiigw
WQsycVCihM+Wk3oKbpSHGmEsztHkGGSD79q+6D1+7WLTddFlERHQE2j6U5famLEiWOaNYULIJmhg
M7b+135o3o1UcPhhXV/LAuVgVke3RRJej0H+MqvDA51wiig2oEkXEbB1Ri3CUhAtwrZblQ55XI1d
vEoRf0HjBAuCk7RmtOF1FGLrptTOuAXZQgUnBBvHuIj6bcyy1msi/Szi+KzmxgjdC9zpINvRTS1T
btH79sRoD1/8Jm7cVOtYBoUSaHYoJjB28V3fT+eow+NqqC3FEl67iyFzbpuMbjfT4OcONecM8n7F
mY9h6hzCdjyWRai6NvP3ZZWwDzQMkEGBRYUtF/S5Tii4IBrpOeQU3TdJke8chE6E2NjATsrWOFC0
xRtEO28A3adD0IcaGiCVbMUslluDOcq6DIwLq9L2lSlLov18/3pScmx8VetspkBV0ftmzgqcHnJM
kpCuC0vByEm6Q2RT9lbPLA3mbRMYC78+XPg1pMqXpbmx87ramz4ceSv3AdlWM7bMHEpBkH1pcf27
mg2FPMXhsE7zcfSQUz6n9gCmti5PUVJOHj90Qr8ZbeKIsZQ69+vI19p1n1vNQderm8S3Q8/W+9GL
R8EHsrPFpQprb1fTmrtBN38hWMJYlU1H/6RAs4qT3MGpWNi7KNZ7b57kibBOByG29V6XhAph/LnM
B9p+o+WjLMx4ZCPIwLMMJulqinWbh8ZzbyMliAjhQsJsp7u2GQEeBsOtAul6j8/iC3aHHKo1y2by
Zsng7Ho+xo599lUmb5WZmjslY+0U669qUmxtZWzX+ticlEwhSgQtxcocKG/D6pVMr4k3367I7Woc
65rc1dY8LGZJqEJ8eKP1WFODGMM7VvPHMeA7ryeyQFHLmHBiCjkZrXG2h+yJer/xfBnBnm5atqpi
ehgD9meWP9TrMVrUaU7iFQVsuiQpHmXRDVuEZvB4C7JFa/JHNHqiY12BiwfDy6JX5HdoBK5qq0Sr
ABWkK/KvUVvd6gaOXF0ee6kyJYuP8xxu9SQ7hEp4UmMEvHAeA8RRHRT92rxBFtV7Gj93cbEcpZEM
rh1W+8JGHGIl/OLwr5vBPIL0/2q19oZmbTmaTDxf2XRg4vWiE2yyqljkraqR4gg7tHVgCbiRYzD6
HT1E2z7mtKgFGmuEtG6o1MUtfqrmoRjH4Wn0dXazltr09c6IpHgOkkIc2gZJw5lgskDu20oxn/3A
0v1TLCJCUbDWeJ3jP2ohwSdi1Plo+HDWfD4vOxNH/nqICdsc+NytBV0502r1qUPqMCd4XpE170LK
OzDeCOqHCHSSU/jXcp6vxhzh/AyCDOpUdk6tILnvNE64rKTPrxMUMF0QfyVz57oG1LlTBpLZUEPB
GUhS1y7tG8Np37Kpf6gEGE++xVvp1w+z04WrSp3Pjhkdu2QSblmqL9rIOV4smrchu9GQqLht6ze7
KgUIlzf+1ZSouju1CVvVIB4x3Q9ass8LHZajkb/YRR8CDwQ8Y1vRRZTEr7ocOA3G1xESX44GhYmC
2GJj4nuYEslgK8kd8wyG2UDeYVOjo8OEgGZZ6SW6ThFt+in+ahnhYc7avZ8bjEjSaI3HUVtpMu/B
tFdkzWYDeXXUx6HP6VcTobPJqVTh4TGVi/Vo3RbjzJQg2xq9qrnZAM6TrvcmigV5GbV94ePLLBqi
YKphgGxFcm8V6rjz4XeKQNmIum5cx87ZKhTnAqczro8cZ5P1GMv+S0ye43YY0+OAT3PVj+3RL+dH
UckVsqirSVD/gcM9lD6Dky4uN5Gj4ieXz+jJIjARBdQ3pdBWHYnUuREZLlF75G2lHkOtW9thhaHp
5jutbb0ZZg5bAx1InBHnQfSyxX84bmqrPpitxCoSoQKIansPIJjzGQk67IZVokS3qZ+9VJ2918lx
SFBt9oXykBi81aokjqIrWo6bfpNpwXvsODsB27xQ+Fe/lF8h4r6VjXbM9PD7HvbfelJlyPjX9eQ2
fc//JPZmedBHOalrn5Bc42PCWgTT5JfYG50QLypGfEdC6PbSdH80wMS0qio980fkKv/00QA7n9D1
8bP4vwU4Zun/qAG2+Em/zjPh8gDM4WdSvJr/JQ5HA2jrYyedKz2rp1UstLlkjri4WQwlD/W1CLPG
fwYmUF8zh8T7grood2d2c1bsXNS5k7hllrwSaHxYCrJeb0kPNk3oEKUBaxLnz7zPR6Nad71zncjh
K5/fyMV98uJ0+laxdTdokPiIaouCZitz43IslZ0Spa+iHg3XjouLIB6uEyi6K6utkeFaO1slwylG
B2PUgxs5hUI83rQVmnOpz6oX6cw34bsCqFWn3aQxUMwV7RVJDkC+XuxrZEqlae+hHH4p8/GEFykV
a5+/7cmBLtH6FnkConivJwn6j+1HzHiU+E+0ezNZiSNLT1fvtV3VFsc+SVFUtyqmEkOp12Vm53sO
A/5aZr1eU8yPWdOf5AyWZIiR8NSJWTPBMlahqW9jNpObOjFIzaoD9DuD9iKTmsj2BPWRaXMhF91T
hpqMse1tmBdX44RNV8l8sckaItJyNd8PTAVX36zjGhWHpw7o+otMFlvkSobXKVnmskO+KOPpOhNk
vIBtWeEYeZuyXnJisL6tC/9BphzCRjC94GZj+KBpX1ud9Vvf7Rn/XcSsPVe+Q4HfA3zYOUM3XBSk
c3EMK4sTvb2Yk/Q9U/LhM+/nsRXPc2adTFLa8M6e0yo+kC5wO8DvByuTxI2naU4VXoC16uY1aeVB
sCrTtAiBRLSJA3wiEPY+baSpAKIOt5GU9UjaTuWcdAw2BzspQJHD9d7zupQkkQMz3MJ9cm79xCch
PZ2WtPSqmK1dv0Sol7UwUy/t2BxpU0FMOmWrfmGnaUcRxPqIvA7187/ttbpQIBYhwl8fh957+p9L
ZuHv/91hLw/8cSQan9gGwHhapNb0TRxJP1Y85iedqTI+0Y/swo8j0Vz8MoiyVYD45jeI/o8j0UTR
LSFEsOKxDNZDMMz+wUxwkU78PBE0yTnkqMApwwgSA85vE8HW70hDnXP9nBeE9ibRhR3Ax+2n9U+v
zPn7D/xZuaR/85T+8UT8JWhHll0WGCxUUuJ3AJWCRVDIMBnOAivyvg1Uaa7F3B0yoBGgdQLqMta+
HkDxK2fqLqqkvLf1uiPinX50QBi9TmotObLyddBrOqprTOgmGOQtuYv156EpaZolmufQKEHtN+lt
yRO6epmeARjiIANVgBpDh1ys9Is9AlEcktVjlY2uE6Pey0ll9Rz8DoaR5Bvf6je6KaiLST70Gkwi
pW0+KtKGYUv3xZ/5GW9M4YJ+ugU9c6Nk46WiwGaNVGqTYTm+pbOvnf5y8LOA5YJ2jysuRXHSMxlY
PHdd314LZd4MZvfoyPpdD+znIJtQ/2H+T+A3eOkUnQnJPVp2RkypLXaW49fbhqBi16jr+8IKdtES
D5yG4ZH4hFdSA5JNn6kl+wRUkulicFE6CksiD9gftfMzCrVlrRNfmZKNzZQiFy8Nr0Kz2NnaPVqE
UzFm3arQphu76rasGXcwl5RVyyKGX9QAm9DmphvqguawTFEiVNK1nWenhX1EGdtVrK+azkxo5lSo
0ii9ywaOtt19lSAqAMeKE/lnOArzjBYSX65mT5c6fIhxwgg8YGrfJFp6rtIw3hgGvqjMPIG+DcgB
MLdOz2sbLiYgxWK+UlbOM7vJHbEfN0U+T54xNw+AuRGGN0QvMx66bYZurwkumNpQv6gpfVUwTA9p
FIntaMxX+khuTBPG/aqe6zct1d90hNJuMmq7ImUfz9QM8+2wzRJxnaE8ILXNurCNOXetNP8yx+Xn
0G5CFNbFHbbX2DMrG6l1Z2xtUqF15p3cOE695iMG+NFEhYN3qnrJoZ7Xm1kq9KbCGrn4VPABPUAB
xuI7cwCJq9rDRpMDSvMKMXaaCoJUJgYdPsQh03hDa7KPBGnxc8FdMSVl/5AIg2uLpgZ9s4gWNyvy
dRj++t6AoKT1yWW74LVk9YJ5+0ZLlHcMGwky4+a64NN4N+mEuAdN647O4KHz0fZcsBmBk/2FrPFC
A2Pl5yZIYZo+2jP9HZ6s2G6QApWnIFJ9eJYjhnEIRyYU3phYz7bZDUP7efaRSo1O7Paxeo7rAnkM
X1kjT85YSI+pouznNDRZUIbheh6nbBNDRrYGpgDxgI507LSbsLW2Y9G+J9i63REcTG6Vn2nzSbfa
hyYlRKvsSKt4oVZ5nsWUuATBNeAQn1PzltHabuq6Q1ksoxlsxSRb6BtQV6FjYqSbjfVgmLteNza1
FmJPnst+a9hxu1E1WsWgN59zigWo1oPnKyxGzKHcdlp+NRXDE+6NhvbcfGhbVZ4I9zOru2VvGkjU
37tCz1Cg/o9j9NcAsuUU5bow8T1TugIYWOR4P49Dm4bBIYDn6TwwR1mZW/8w3hanfQxb/yV/LNc4
PVyY80esx52H/WT/98+/TFt/PcR5esbEyPoYyJLg8uvT134nesXq5nNvQ7PZO3gRnfFZQVP9z59H
XxSHC6vTVH9Xhzotd1Y09vNZw2fJcp14difYM+L4H8/z6+33/eXk9eQOpLlgL/ebbaiC7SY6LVTP
ljjWFjhYxoTm49//LeafvWc//zG/PUkXqmqjkyZ77jfNAxkm636nvklPMjk6gewIVjcYUlZMunb3
l9JLV5f9Kdo8NGt/fR0fhtWOrf9F6/EfesWG/60f/v730xep7e9vKt4sIMsCkLD4Fon804g97eYZ
D7+qncl9vPSv1bV60h6Dgw4yzu28aXV40raje1lthp0QbnZk3ntd8vsOq9T99qv821eb6Gr+upBk
w9yiFqq7+b8ryeWRPypJxEIs7QRMMTrlb1uXH5Wk/snQiHChav0IyP5oru1PbJ0XwTVAWlx+i2/w
o7m2aNZVoYMYslWTb8A/2i6T1P3LB2nZ1SydNVp71kl02b/LdB0fC3AgJXEJI4hJZHh8cvUUZsKY
P0a1Idc48qDi6dQvaWJj1hHtvhLa175QM9q4bDjAtMdHHXKVtmq3C4D8CV4P8JlkixV5F28g7K9j
O34dfC4+bUmG6HPKpXRJi7CX3AilnJxzWGX3oiZXohqIVBPY2+DL3wdBW8DdeSQW4S7LovyK6DUF
fgiInS4iB0DlxjxkafjomyhkE8e5lkmLObjT3zWl7jaBrgx3eeXsLGIt4hJYhToSQdiMN1B60BOW
OIWV6rJHgolvbivUhktPoLHE0B02ol7VU3FqhE18QmvAOHBC1w+aL1OEeaYIgn5tz1PtGpG/DaLq
lmjnDV5qwhsgzjd1He371H7WNNCRwzhcQjFkkzCT3TRSgnUjFP8i0rwx6UIGgwmF7HzjY07fCUXj
pemi/phGM6HeIrhEL3hwZFKxD2KX3ipvcZw6q6jCXxKA6BzmgXmiT0eu9InJnJyRXTcbmy5lhR7k
KZWV5qb2YsxpjZuYMW3RvOmy+EqTue4mXrKogl4Sas1L2FEtNj59vGm3JNgxBcVFRfNt6StW/ETn
pCbxRVOzMGFvMGcW5yrTTtUYj2u10kpCXzByIzHXt7Ou35nzN6or+w1F3ANZdg5VD4fNbiPPqnxW
JWXvIp7dEG1xbIr2PPiF16ZEcQ/5pmBpzWQyegTXZW7zEbiT32Sh56TVZo7s01RNn/Ui25h5/2wO
E/kWRn/TN8oMy3F455nH9WikpCFW2lUOL2dVadM5HqWBky08OWz/L3qjfiXny161tabvGYRbz6GS
2evKZqO/nvKmWqvzRiTCJ3OxLy+DXrEPZVA010QMItKySWR3eIEqZYXR9U2Wcjj0wiBgwd7UlFfL
Bn0SxuAZfv3kUE+68OBIGyp5CiSeZYewc2Cb0AleYgniV8nC+d4omdGaOiQzo7RvZWUdW216X3gp
Hp6VmxTAyNFiFTVn/aVONpbmwAoA9kMuYBO+xXPp7NvCfhuX5RahFgjherYjhdZct1XBS1yf/AR1
Oo6u8lDYtUtQsoIKG/NoAZuNpqdbaVT3XjEi/M6HYNrEmv81Lf1zStiIBw9MverDDqVsB1/Fn9Nj
pefqelatCggIMGESwOz/x955bLeNtFv0ieCFQsYdMpMSqZw8wVJEIef49HeX/NvtdqfV8x7bMmmR
qPrCOfsE+WGIDRQQgfEUgxaFttu259LS9KM51Pa7rgfJbaGDagVyjINMpBKZ7X+307cxB1fCX99O
m/q9+TPdk6JFfr+ZhPdFpZZ7zCWAVOkqVO/HzQTeA8SLAcFa52+gB/g+4zBdrjMb9wgoEWUtUcPi
7zeT/UVBsYVru2hSlaDq38w4cLH8ejP56GF9ooNdMivgyv9SNidZKnwW7e4J4M8hbKs+P7aDMTnL
OOvLsljlrLHxxxLARkJZON4TYkKmTuHnpTxrY/k0ms1NJqtpJRvig4a22yIAXNGP0KHpucHTkDqL
wo9fGCoR6pfb0Rq9TsVOyD4ReshaMtVwjGbXeZY8DF0hkqvWLeVNkkQMGNlGuSz2Uo0sFz3STkmQ
e3jzehYcmRY+TWUrL9nBRM6lTCf30s49mk4LKBSafFjZxcoOMj2/dVwN8n/tQ+hsRhGAIdEaifrf
YihLUu3wkBikBjLLKHaw6eJpZ+j1cYitw9DZ1zYKpFXApkif09vOYmZbyPKVXXW2cGSHNnWOlnVL
bLgwX2Qezwt87yenM+Bpj/fEAtpLk5xXrddWWmblBJrT7VtliR6d7BvCSlhwCks+gDj26JcTKMD2
DfPxC2aaeDq16M3w3dusszB4sAVuMn4pttdeuSZulBDm827g31/gX0m+TmbIgAQLoz7Tq1Zq5JCl
3m2VCmNT5AmBK2bLoDY2dhJ9V973pKgP0d6UWAxtvJKLHN3VotET0IREDqwRmB3M0rgKgDUuZ1Oi
ybSMXZHQcJPdNCz9aTT2U6+89Z3+phdcP11DKkVgB/Ccm22W+8+hLM4gtp6Bn6yXkceg2Jz9Gzdg
Xu7LZjMG2pvtz5tUH/dlwMnPlnnRB/WqrJnb4o9EDxWUH21Bh+pEBGsxyn4dpD8idM0f+Uq3MJl6
d+dYbbLh63WFYZOYMq84tXas4fjgMPUZJ3F944EX10FJvhFqE9Lqx9rGb9oTFFhKbMTFI04msgjC
9tDyCbZNt7ErGW1HmwPf0atiPecssvvpYqzsB9G0J+xJtzEG6yWUj/sslNfSkggidEAxoaNB+6Rk
62V9PbnBLVCdq7nqeEQEauBJDCHT+ohonzq47IJ5N6WBhkpae60rTa44rpPtZAOonIXPfrlDEQ3L
BtW0bq2ENc2Hgty8eCqmTeHZKkgzN5dZj2+rsoZzfDxvKa6jiIAN6HLR0YlLxNS6ewbiSGx1P00X
E7w5wQOwskT8jClp2Ex+e4H56LHXkKHwqPeLeMrAKnbmRzYROZiUxXU3l8sWP+3Mb2bhuiMJjjma
vTYByjrM+U6z+HYGIaHUTRqhVDBmcoHcR3sAKMEsZ98XCdO32tiz9TJXCCDPZa8B7bao1PTMsjZD
FV9EobNytOQ6S/sTBCCN4RdmkgFxUZT5lwQQVRsnbZvtUA5M6AhHW1S5c4vJrcc4on8EhsUeNn2l
Ct9T5ZJUFCIYCDTj3Wq0+yYmqTHLsvsMz//a8LsbNsoCcGj2VEzWGXlW+MUUh6yxDi6plFdm7JUu
wDt9IkO0ejHRaxSGTRyYCtrubDgYStQxo+5Auf1Sm8ZT5fnmzlcCkBIlyKwkIV4rYaPXjsN/FcEI
oqRXsnobEL0tC52WPMJST3eTXkyLTklOMrQnpWPdtBkohUGSk4bMcFihqYxXhAvlRDfrpx5c+5rp
1ns/T1CObOcYK6lLr0QviZK/9EoI43cVNDkdCtNgDa+MGFHjKOGMHgz2KVJimr6pRupG4K4mSptB
SW4mD0i/oPRJlByHpTaiHgQ6kR1PqymW5TFDvTOh4smUnCdTwh54j3i9Tb6tMEReHSX/QfI4r20U
QaFlKmkQIqECtVAC0X8lSZnZeAB4FpyH8zZHXVR7JA6iNgqHYFso+RHltUN2XeSTiDyw/G4zfzMq
wZJD0vwV9NByQ825r1A1YTgghkAJnZoKnvJAE7ZEjzQdZNe9JZUeb6SSSBmgj4nfgveeIB/byTyf
7+Yh47MZJjQBSmil5XyuoQFr3EaFZWbACoTwQNfZ/VmIUitAsaVFc6YSsepNQCJujaorlBSQGhgR
RLJM+pT0q+uny7KTt7nBADZBb7sp4TEvOkQpy9hsX50KO0im5GSjEpZNAr8Ggdk0b6m8bFGfAZ7S
V4kSpJUo00BQnhO5vgKjd9kr6ZoZw1MygoFUL3RtCGNfPRIp0iZAheKi5YPPQk4darjC9KY1qnrG
bzObWR3NnOiS5yLRqDOjG1LIaP6UvI4eFPGJVb6nEP5C/G/4NxHj1UqW10VGvhpSICZKstej3Qt8
0ntNoferoSLCt0DhB6FD38VjHN5XMiUmPXhylBzQ4NF10QfWWftkm5Twsj2Vn1PhNnsNbMNfCyUu
9FEZdkpuWCjhoYECcdZLfaWl0VHg2SBWPTlL8ZssFQLEVgJGnEPvo9fs3C4495TEEezFgeW0r4yt
7LDzh2yqT2NuQDFTAskaSAEf6KFC+2Cn2ZuGFmIYEUg7qCPyStuh53tnCbJplHyicUv0gfzpgLKC
BNzzOTzL8GPXiC7KJmFvHb9IKN2gfNkNI9HoIrTatlJtNMg3sLMRapbw8ShlR1w2Z6PSelCn1xsD
+QcyEWAACEKiOOQvc4D3yEWiOqUnUQoSobQkVG5fqcD20VhsKqU2MZGdzEp/0iFEcRCkBP7wIEz+
caVUGQKi1pR2xcxaiOT+Q0h/wF6+OuluRphBfi9MLjwf4g4Zd7hsPNbsSXRXK41MqdQyGrKZMvLP
JyNgm4SgptOgVbroAdiOZNtOqW4gTK8dMTCZUIocjCjhJlIqnVzpdcwamoZS8BhKyyOpO6HZRFhs
6HBz7Hsuwp8BAZBUSqBw8C4mEW8LZIWI0gyoL3C8xXjuISKSSk2EhyVbsg7cxvSFCN0oZMz5xUSC
5Azhi4ckyVLaJC3QJR9W9Yx3sV+MxhDbXMR9fcbjQ9rnWELA9O5F6bKmxibU1GtvZ4YgvIt037cJ
ejmzvMqdOpvQTEYO6QuWLbQH2ReFvhzx89QHdh8DzW009F4Px63XpquJTyfX7UhbWQFT9BDcW7Ty
/ORQDOxjxgR0ja7V25moV9br6DcZDazyRBs2kVWsIL90q6AvHgNPsP/2+gpWSSjWqRHfmXV+M1jO
uGGq/VHF9YMVufYio/DSAlh1vu3vpWs9I1u4HFUcsnTVXCHCSUrd1SDsA/ljK1yANhGlnKlQ5UTn
YmtU0HJvqM+O2rzzAZT6EqCRsJB0WquxdU89ac0+qc3K+EajGz8LH32mb50LFfAM1uyFuwXsONnP
CRnQTRRZh7bT32cVDz3HyGun3ttZJEcTeCMp8iCB0kpg86aFRmT1Vg/ZzlTB07aKoK7Ioraq9NpA
TIdSvl+SzT3sOHfPffKrXcSHS1Ceza7reaJVyDXzIkbFKvi6of+Fio44mEzs0qDa9UXyNalIsZUX
CVK/2J4Ww4h5rm5MJGD9ScOZROpge5HZKKBUCjeDoOVALHcR6iebwVJKXLdlXDiozLS5WtUqyrsn
0zsht7yV0VPrtncl1BsoGvraq7ej496wHVpS954mMsKjkshHFRpukh4+qxjxmDxx3uCdjDRnBRgx
WEsVOs6p8NVSMeTZTPpwQTL5qCLKm8+w8mw+Dj3x5ZUjHsteZ3+TXA1D/pyooPMeHHtG8nlKAnqk
ktBVJPp/Df1nQ6/2Mn/d0N++y+fsT2wB6qe+N/TouIBXG7bFQNfB/Ulr/qOhN4FFOMRGUF0oGddv
Oi5InhbTZJRVOJYcn23Cbw29D2xOGZ+AgMJysJhC/xvRgvj9zoJRs+U4mJh4LZ/ptuOqhv+nnUWe
Ylogc9e76H2ZNKvYNMmG4lbOc+3QpeFatAhjuT2JWULWMw6TYMBsOGvR+4cWxu+yJHZyE8bTracV
1baLs3SRiyhdkNa4jrvyNTRGIYBbdhBsyUXvtJWpdfcNcQPXJLQMW6d2AuZPk7OPR5fpo2EuS7ev
j7ZhdXADDLkZXfGCAvVDx5e5A7dwqo1YZbUXVDXR2F2j27ly+9i5qsosxWo1IKxOc45Qz0F57qsp
cudzGfhQrzPelTcmmzjstJ2IebpixmwIxKM3kSNo44GCwNaCm985DdvysESP25oJHsMgFxeBATli
7HKF9/XznSu4fUtefo7SfFFjfuJVUETPcG0WzOmrlW8Ox9QlBLiQBwqLXVszZG9zg4ArszpzwoDd
VdvbtLDxdUF8IvLSM+oD5FUOpSdBN9N2ZpdPEcEVhCiAhAMnWOuedlfOzY1f18D+dW9vU+WhkWJz
7/gPZuW+FnVxqpCPIsqSB3zOlxjDbsOeDfKA+bVP/I+6tPZ65x/tZmAw3GgoCHLL3ZZp8RgP6cHJ
o6cxbkG5+drHGHqY6VH9R2n/1c799zJ3qz1jCAhSOVnj5OUge03hfZqsn8+jCKx2UjURBq7i0pvi
+4R6YjFkBQqK3B7XGt7VdYbUYDE3zYPTk6njjMuCdLR1EkYY0MJIwpau7gvTTzaZjrxi9BysCfp4
S3orUDyDRKio19s1zrReDYWIGLK6y7IhRV53h3hdz92rVbaPvUzesjC3NoEp3kqQn+wCZHvIA4Me
zzM3MKP6jTOaAdFpxJ4nfF23HUGmkPisjC5YgIUqLXOvdb6/Db0sRn1b8CAU3seEN9tKmhezVIrh
YHDXIia0qXOaD0T1Du8WrwHPfrks8yTdRAR2OzLwF27tA/3AI7IIRlKk+kLOq0BUS5CmdF1Tvw17
SG6woS/MPtgZdn4px/zCSby9pkWbztjT3QfD0effbKz2pqwGxmKMs5LMeXD97CLJKdsHk94riMdt
IpA7VBGjyfbRTaXO+LhlbBGX/rpxmbEU2OsWbcxcPymPhtFtGy27I6J+n1TheZuV2U4YxHqCnDPS
fmd1zFTcAZB0PY4XWWqQu6GnT7KJTrYD1dbRB3cfV+654WcnKOLbVDNbCigupyJJGIw4rBgYrHgI
2UWEEi86N7roXGTlUypGsjoIqFg4IrizXPsByw3y0sTactP5qzEWtHcSt3adI6yUoUu517Xb0AK2
6DvzuNSm7Hpwgoc54P1VJUvumfHb3PJzYZaObIvSFYqKfTDX71VuWmtjVpFbaHN0RuxkX6Dg9Pm1
Lvv2c8B21Q4mo/qomwC6NtYq6RGR0h1+oAM7syLk7ZIh2JhS5qUEuetZ9DQ75m1Aa7GsaauXVZtq
YPTFte35AGZjzEtmfmVosBLF7H04frdtFbWuyr1gbTT9VS27bZAbt71sjnqvEW1eeoeoplQJ3Owq
RdAyupF2kEN6F9kt8pYWZ//krQlzJ4x+NJhQVRRaTj4k69QiQXzW5RF0H01UAN9fq9OPcA5ucZyC
xREGwLgI0OMo47e6hKJcwG/WvWFewZsyljmCgrOB0Oldi/8Hs0m4mKv5akJOtNb6FkKPH96MZrTu
DPiFQXnm+1m/scr6wLRacgsQH1hV2bQ1B4ehrFPYG5wZj1mtMx7Qnwk0YFpmSCJthp4JaHaHmf0c
Ujo/imDf6q1NDQURi/9ZVNa7uAnaHbG2jMRmUhNsYKGTK15nUR7tkDN7JO3HIUMM0+R7i/20Havn
eQzXbsTT2Uzd0jLFUwHnBcRjQkIg4L9E37ktp2nYbqyeLwGKH07ucgGq2FvZSZ4ipnJvyw4vq2W/
Jy0HZWQ6xZr9IdRH2NfMco8kpNSLsfEvaqK7t4Y13Kd8b2liyGByB2rPHrA7D9pVbfdg490Z0ucU
PnN31usiktju5VSg+TKdC8/TPKTN7Ojqpn6MEnFj5126hOpzJ9z2KU4k+y7FjG/IYFikbolnZxSb
2fBezMCD44BBgPf3UseQR3OveGtYAsHPo+7FnUTsT0Kbo4wO3HnwN/mzQY3lifFGl8bClNyjtZ91
byiZSXN1qzdTkiAb+80y0IIESkpAZ+0AeggnufELoozCEYJUQMmqnrJqSaraSUKPxOWFUBBoAd77
cDcx/YOT82JqNKSDlt9MBc6fSIu/Jm75qihO5D9m2yCAgRhPfAZBfyPsUiwZ3LuHWaN9biVXca4y
FymNYEvhSXY00Vz4s7UKp+wjwS5FMhLLYybFOGLDc92MMpzD5YenEVqHZv6JtlystSpDnJE7z4mE
KFiG2qMOuu+q9vIjp3njB0cL6bCkndOWKTlde6B+SIuLbzrjOtLDkBSbirgq/VOM/F8d/VlHi7+t
owkHeSnSt/aPog31cz8qafOLWn2ZaB0/S2Iq1R+VtPUFLwR6Dls3LSTCFLn/E22g8bXYVkH1AtwM
gMVAavG/1RhFNhhlqu/fFmr/ppL+ZTFmAU32gCcL9CEG+JlfFmNtNw2VW9jDZacfQnAuE7v87U/N
xZ9If79piH8vMNKBr1p4d8jBQ2v1C1IQ8YQZx0lTXpoDSluMn3aDtk6aRm5eSh2rnFKCjsnVXESO
d5LcTo916BrJlQexbSn1bDRgfZTLZiz2lRzPoyBdE4q0niPyk1AmLKcpvQzIZUsLbT81/k6riptW
R2Y4SbGeK/d6jJpdMMETldm4yaNWrGyrOoCFvwDO9YLd7FkLglVXlvs4jR/RITAHiuRFSKyVZ6R7
VwK6F2P9UXeq1IyGVYpjYRtVVrfUUPktWnvYVT3DiQ5CuwujyWyW/PceQ0ff6z7lK+72QzXm72nj
S04/4t6m7D0AsonruGwXhT56i6qpNySTnJNMN6y8HBJLPXDXla7+orispgXfUlg50XvhITCMu3pE
3W9E7UOSsfSX0/DaONZhsup8U8UlDudxWPmVa0KugUwQFPVNHdFVuFbRrsPJPFJfwixtzKsUTyIe
l+5Ri00ILCgd8O9kC89oP2K3YmxPrhjBvgUaceuMy8Fal8S8LtKkineODmmPoXO4HOMuX0clzAdB
JtWCYLcHkRWs3Sg26J+ubc5QCKTpLR5h8jq95EkDMb0whnIPiCE+pe1AiJWWHBot4hwXFdITLzwP
21czLjZ+x1AxG4ylNVaM9sjXC+YeeUHF1ViE4lB7Xb1qe3c7u/ZrGVGqDBPZB6716jWoPCA7fHgZ
c5fQ8uYVTuDbsHI+rAjcM0VmVLFdEk28kwYACwHFp8Cv2BvNi4hjfVlb7BMRhe/TKGGVBIor8hw6
CxOtp9W0wxoZgr/k0rvsfO2uD7tmqaUtgSeyVkvPG66baoUBtFvmgUmBU9dUPi4UCz4/34txmKqs
Ylgxo98/JOD+EZU6H9xgX20BYU0OqFPNEcgfN1FyzDPQ/SGZZEvOlbtwqm5yyy4PMjEBrLvuShaS
Om0cv/ZxyrdnqLq1h2Jo4brzE2g6lMr4d3oiGC0xOJu+1u+SMGXARaTpqAGf6cOWxYf20Wrek+ZN
5MEmcumagnX2GBQ+pmfyogiINCewdp8a18Gqq2BX8tvwEctXt3Y4zAtuY77lfprcJbrp7+0ZUqlj
DrdVZeBBKd+zJt9jik5JBS7fRFuxz2S7gdGbNUwykPZUR/GDZbWr1AmwIzv3ub8et5Oc4vOsYNCp
add1F/vKaQRgdxVkRCf1xBFrLvVj7ZfFskm5K9kFLEOTYrEwjxZJVXixcHq7zbLk2aTvK09N4T5K
z36PdAp5jjXcyrPYZASy9XI6w872rI3d2dCiDbO7p7CjQOLMua5zsSaP97oQ5n4Q2vU0MQbQwnvY
1k8NtL9C6Gf+AKja9S6njHK2aTczm9HAn96Y8oH7duNV0rTJOkOFlpCT6zY10Xish3Bun1yid+oq
QWw1zyvW68Oi8Jnvxp5GA6hdTG19n0V+sg6M5r1poVNX44PWvNsd38TecTemFZMZGZD1A94tGDCx
kSenaWu9n9x7N+zHbVXVxjIOiUW2vbItT4lpPmaFReTuXK3dHuTJMo1VnGBSWCWoDns2t+1U1Esv
Rc/lmdk9vfKmbofHYUjvm0p70rPavNI7e77kwqs2dVo9V4bYy9p8GwPvopqnk5/64SrPWH+gyhMr
ShJaqjiNNtmckceYedMxzORNFIYvrKm15ZCAta6ZMGI2a5E25ywogf095Qaf4iBvo6iImVYw9Omb
x04UM/sp6PGBkquT39Es+oi7Z+knnAGdllIrdeV8obUYZZ2YXd800dKD4Wf+WlvNQ+A3KJJaN9vx
NHurKm1XltP3u160w5aVRrE0s2LawjyhQE4ZzIQtq152NzaEdV/s8LJdQu+6BquipprbuFcGNS14
jQrEB7MjbrHaPdZivAlBuuyxkjwWCmds0d58Q++9jv8XvuPVxatQ5D87bn4/IVPSZh0Fv6duXASe
tjJp/jwhA21eYtKpusvCIxtYEDhy6/CubdyC8T9JnH8v/FSvxYQQtpDAyeSi2lGuy5+mcU1Dc66C
FS/pB4PkvkK5qP2DSvmfXkL9+U8vQTxKmg5dOlyWPJjAicDLf7XKm78vVf70RXwf3TkVm2D8+fsX
aSSwtTgfhkuzvq2K81E7af3+71/ijx+LsoH99hJKYf/T/6Nl9RcKaxwuLe8mQ3kIgYkqJHef4+kf
XokR7S+y7t+/knonP71SKns7c1r+MxXNicjROBiHLmPivu4zTOnzt2H6X37f/mgNECSJMDGGFmMS
YKjezk8vB6tpnOtWDDggHwUaUNe5DeXZlD1+/v7+k4gLhuV/PbPfZ+V7HT2nf9Jr8HPfew3wY7Ca
edaFTYX2OZr/3msI5wtkBbJRDI9hKiSuH72GSYNimq5O8c8PumAef/QaJvBnFd2CBZEu4dO7+C96
DWR9v/tKAvBBGA6zEk0KcCCegl/OCTgYdT5q1UQkC9KwjUA36h5LF8Pehz7PQI6RmOktt7uJjGfe
FU6SgCkOxpgTzLGS60DpU708GHa16N1JyYhfQxB8TAODZ9yBNwS4ZpdTgkOsmh1jA6KNWZSlN8fC
cT5k6XHjZght4ahHGzQTJv19VK9bh8Eva2n7fGbBtdfyFJwN9p98Wo4OUruYGKVTqQt0TuyMETwl
ZyRM5yuQWdOmtqlmW6jDixTn3RKjHxIu5IYnq58OJHqce0UbnBEfm2wSzWcVh7mc7GDDSRfYyqbN
6MN8MRmCLStqPEI/3HJVjdyIYMiYlFnaE6Sui9IZ84Mru1sgwTrFDotVFrgloSKTdqpj53XIueir
whVbeJAfcxx/ZUsLLNvqRbYfAkIdSyue7hAnBKiJ5DEkw3Hfyfi9DWfjibIX4RZSwk3vpNXKbVJy
c3EPk6ji5z6j/UCsnUHXDlY56ud2lLfbCBPgIoRudl677pWXhvENndB+kNOtVkJoKqzc2upeceU6
qEwwLpLKqFtgQQu6uDlhYW7pAx71KdHOheyU+rmW9lNfhijkdDM5a4NJMCbNtIkyea5hRVxIPrve
QDR5nAQ1OyQPOCUVOQX6AHTa10g+9HzU02BTNZvxy2TcakaXRnujT+ZD3ef+RdRPZQVx2mOT7fNL
CC58ltosldkt9MJPzg1mtiLM5hvQnGJc/Xd6fZuUMNb4m9Mrn/4EnCj4mR8nlw1mngGJC27sFwEx
2mLc07qB6dl0yaPi0PjN2mI5YCZcB9A8uym1ivxNQOyyuIQexlSDEcu/5UYwwPnpMsWGDX/aVO/B
4F3gk/rlMjVlWoqwd9tTljhw0Is0Wo1FRi95hXFSUfeibww+C6wYRL6kTwasK60h1ngepnxAqR8R
w1x5UTVBqEEWbbO9G+zaXojRqTrK61SaW0zKSJUXlpVGBGVqAVF5Ky3wi5zgbeTxl27X+XW+cvWy
t85G2x6aEYpTFTfP7tzW8wyTngQatBxjjUifRlzW27gp/aOsdLkPx9rBEjNYd1XBGNxjlVN1RWIv
rCRmtFAN/RnxkNMG1W9+ctOkuyabdHjRc9sm/COW4Utv1eMmJdLuPHKSgla2CE6xZlubXosl6lSB
n83Dc3MlXCPYoy8ajklOOqCI+3ZVo3AlNQenwmgY9bMXgUxIW4QtS4k8ak/SdntrDBVCGJnbr96c
+ttepgMTACzehIuzlLHMa2/WU5wYSIDTDsI/ArUGqXDboit19OlU63W8STC1M9EX6DGgouPvMVEt
8zG1uyrQiUQVJZ5u35fGV3Mu4XTPMzTzxOiMl4Qe8axjpbafQDc8mnZjrigUkamVNC4zqecXXZe8
8ivN95XviBtBYEu6jPHyH60BDR/ZPfI0EcPLgJd4Hztqmq3vp/U6nn3vNFd0ClmV05FM0LwlEIpX
9C/puT0EzX2XESbQYL8A5RoZRzbUKasn2SSoVtm4smhyrhgIaBvOvuYS4k65QpJSnKFqA3TeJAc2
ODMeX83bVPY0fgyWTHdemYWHsYgs3lvsascocPRDFjV414sJiWzbcoRXk5dvyxDZLLT3eTHaNRXc
bPjBIa01556xxgPJ9sa5AeHxgrcfbDRCZY64VlDP1bV+Mc0SnzKZt/swQhBVaG1Mu11O17L2hhUQ
uWo9Rd24Dvs52DRV04T/naz/g9P+bV14HfXvaJvf3v9YGCr1xY/jlcKQ2ssg0g/Sg0td9qMudL9A
pjY8+jYOckwXv52u1hedmTT6D3I3qBCVc+P76UrJaCijIRUlTuB/qebw/1gWUrU6Ht4QxyF3+Nfk
HGkownhnGse6qKrSPdegSKvRGIUbeXm+FSdItQwzIQU8EB3atG7GXTgJdwECwiZHQk8vuoJ7f8hG
bW/buXnsEm1aDUaTn2WAI28mEzBYN1rlOcPf4rUN2+FgZENywwysPrOK2M+X7ei+B0ZEjIRFOreI
a5aBLtSbr/h3dR8vHNI9PE4Ly0+3iSGG1Ywo4KXvHfGhmdEMWduJOoRgKHfziZkw7TmSLYepmREb
C1uPs2Uk3eQyy7rg1oDZet19EnD1GPh4s00/2bikPuChr79Bc7kNQsapVqf3nbHov+F1p0/WLvN2
1q41jADiMxSOFwAsZF7HKeN1ZkdVfKfFs01F2CdwfEdFyl4Mn3xfW6F+E2rfvaXwv9jqjBWXx6Iu
p4PXltVK5DbS/L727bO+NOvnII5w6yGuYyjrkwRNSk8PEn2KctPcTkxN95N0CBLB7XU9iwaXgtHb
gKzd+LWNU3koncCcj3ZctXuP+6+/nsk+3Uy1jZByKfliDseMmMNc2/5Xa32rtdif/HWtdQaq+o+H
geBnfhwGPPICui8caHSpnwXV99PA0L/AgiEJCNeVQlFToX2vtWyqMLUmErBdlSTsp9PA+qIQsHi/
QLd8ngf/Rtvlqm3Qb9sipF0+EyvBTspw8P/zRf79IMEVZUiqytyewBQ3cOCiOlx40khXbmX5W7f3
nlE4DZuqtOFpkDlvaYes8TrMAa4CFEeGYhXLT24xUKaS1JEuJrKz1BTbuGT4PlzmEI9LM4luUf0a
PpuoGSByMze0MRJIMsF0V1NOdHupB1RwIRM6stdzVfQZ1iw37ef9VdljTWpgoGWxid7MTZsn0sVi
hrRjOhsIiE0kNVGzMXBDiwPuZkI+w5l2h71REDNAVzmgvhmC8OI5Rz3aOqtaZYZqyVSthyoQ2z5x
xHqAp73VEwfwITZJsUv8yZnXZqMSSSfDn0eCnZEw00cHGgJbq9RwXJSzc+ymRhar0iicm8hxCA1B
84+kWeWgilIm7U1iprW/dqwyveCEkMa2QuOznsKmeJwHyyeooQqTGJmALNw99ipTX//3iH4+ojCZ
/uYRPb7Xr+9vf3xI1U99f0h5EnE163gV1T37+ST+eEjFFy5yGh+AzYKTlV7k+0PKk20Kg6fRV1lZ
PEW/XdlwmS0aKJ9OiU2seur/xSgHmPOvTykHs2NYODvVg2op7ejP4z5TMwaWNklyIXSrrQ+YxEod
aVtmaWDGEhed3KfMvKviimYAeZmRgaDLduN+rwfxNldA3sFYxOjVpRKulyjYmS7XJBfBRnsMFKPT
afMELqtlLIHyAfDEFmTHGWJKw06XEW5KPHoXo5b2C981ngMXHZFdJ2claNDcAbnjAgvFSbNl5j5v
Om+8B6T85uBXh/PBP0DtvwtHe9N3XrGzGv+KGSYsgtpYZ3FGlrUilZZDmwBuyi5pPXCAEeaq6EAX
HoBTmFTKcAHzNFT007H2dr1TclMmBEE4xhOjkhFTBXkSvaKnFkXVr31FVC3NLF37tUt8bBEAQ63k
Y5cQ/p3b2OFCRliUDbrYoGJJF51mEkI6OK3ckVgY6ujDhIvrwEV+NaZauiOOA+oLQZPbhoirM73K
w2u3dUfkiZybhcuctxkpkiIPaRTaNXEi+4JVtGVcUqkwRWpYeDmV227ZtzUbWWSELvYZL23EHvuQ
qt2R6gKDVNYQinqBeohNJLmQos6vULaaZ15ZYx3M/IloqEbkVXSwXALI9gRDEVpvILxj5ZSIF1GZ
1qrrUBVVcXyUfbfoAgZyLZMzmZMKww5ko9vZlRX7cA5HFP0AD5N3WN4PVZOcFzqQZwxZ2xSG65Kr
6Fj7GhnorKZlFq3sMr0eZX4ojfrJ0JLzeIhIkTGyWxNz3RpjGrLKCludewLOD5VWtpRiGL0iY22a
vUmyqy3j+Shs4sV0mvekjCGWWqT+JpPcdxmeF7afOcYKw1tnc/g6j+CZAh1taOkH2abI6nJhE3S8
tGr7FRdwrbReCaVXS76sHNedaFWuxx3L4JEAt9xeRX0fI10gWSsIrBNDSNxWug0GN4SIpnshGGP+
Zsy/K4W/dqcSQ4Cu2Oc2FEqEyD3b0Khf6aN+cm1uuKTG5jaVSXPQ9fbMgZ+zbG0Yu1HaaAs9M746
I2mjwVTcsOIn1HZiaBbkjYtZHyEopOCFj4hj0bjuexaEb2nhoSTT4OjGE3tJLb7s7HzgO2Cshd65
eAGmbF38P3vntRy5sWXRX5kfgAI2ATxOAShfRd80Lwi2g/ceXz8LlFpiUy0yFPOql3sV0UGiiAIy
85yz99qw/tkZB3tt8ejLis50T67bwPWNFnO0hEARgnFsFsk+b9ri9r/94/cjHp2sd454UR40f98+
FH7ox/bxkgivk+muKALP6dI0+3P7kEHF0NH6PU9kmXH92D3Ebyjml7AReDFiqev+2j04/S27kKky
WTAZI/wr5qDJNvTmiMfAgeqR5wlYjKwvR8BXsyLF15aUQeDm4Sxp9R229DTDADNlihuGUoewHXpo
dGqsRCPfSIzQUof0SpY0hyz7NMOrR5yr05oyRPLJEk21y4qaNcrsNQO3asOBjLzb/aCRfMhIv5iT
qwLjfcmWIZTwaRzUFkWDdp4E+ld9ceuD98A5XYWfCxMwp7p4+pmXhKtJJp8Ouz8ansQhPpeiEhRA
qPgPdIBQIRZyjO8xfYEGJGkBP2AhCfRsQ1AFQn6rcAqQKPlJlyZBYkm8jfTIX8InB09uIRL6eV9+
VuP5KcAKQHRS5jtKma9ZswenyOJtFUvbKEIcMdb5Z1mrY7pg5B/hUruLAumLegKDcir0xB01k9uT
Ek7pp/6tUllXWSF7NrrseL5SWnE39GjWWVV0HKr26b8X8eVFXGBe//wi/g5uWj3Xn59/lbOx/PCr
FxK3jL4M5ew/4n9evZCc72SbyZ2qU3y9Gs0ZvzFS55iHCe1HW/xVC4amCQJBjXMd7+q/Os/xZr95
IZeKb+kC0eK2hfbmhdRCRQJ9m+nnMHuam/M4Pr66LZd/FyMAk/rbFUCAwIwjE4Tcur/hPzsfzb9v
jN25mw1PVcvvU6mfU+wjtBq/t7Xi1nB33UzXaEBI+Y5k0m1dxV5n0sMVkig2BT653Ky3UiPfxl24
prv4VUrxmKj2sTPqkbjQZFjNYXqh9CAfyVJtKxRRWQMyfUHDB9xEdPgIu9daMc0EycnGblxioAcD
iIy2JEPTTjJdfYmLrtQllgw7s6c3jOvqJVY6XgKm7UT/0oVETrdL+LROeupBWRQcgWJdQKyXvNSq
H8g3oiRUOUmVuj5ACWLQpamEWysoIVdTnYMxjZ4S8q+ZltKIJhB7CGBcpGRkk3w60yqvbn3SszWU
2laI6p3p6JO0BGyjHfieJdJFOxK93YDWX3e65QZle2Oi05dI6dbAYiakdudlt2+XGG+DPO8xsfbx
EvAdzDWM1WRfmeazr/TDimCNbWBLbpdEz+0SEt6YOgpNa8tE70IiRZxNHzy9+tiQLo5jkva1cdSX
2PFa7U8pR0NBHnldVlvOwij9dPtTvESWA0m+xE1Axjlp5lBRH8uKVXeS4r0u6bftEnyuLhHo2qzf
REsoerjEo3fkpE9LYLqxRKf7ZKijz2twZUEoJV19gNPKdxGumED2a1Lx9ogOHJtEdr3QQAgYZ9Eg
vyKxPYn063CJcO/Icjf1/hQO9a6YBoYgMYZXSKAZ6e9pPxxpLdyIJRaebtU9HthPCnnxwu/WBfnx
1myspbF+ArxRrurW3kha81jwx6tTNm6kaf6akEU/mTicyKbXkvFYDrG16qqAvt2U80tfouxNfxWQ
bc9bQPRH/Bj4y3GyaeO11HU8NtX3qYi31oJX0cqnjnQFSZJvGgIV8G/Fbj/ajmykn+fEv0oyaGHh
FBwpzBMIHPg/dcm8DWe8OfjwnSAKYg572Wdb4RQpwcUm4cs0TtYiIY0iAU+pRFhviJvY1h+6siFU
XeWImZbL2xMPN7ISH6QOx7NaDZVrVPBJJcW4Hi0JTP+EGotkVIwIQms8Oy1xsLOfeUMjzkGLvy4y
xCeZXQbhqW99ru0WczQ9HmxWKPB5v+veZ4+cJPopcdRH57GOmD6UgjYvtwKRZRk4tZQkoMmK0NXJ
smHMI8leO+vNKm99SK8WbvtV1smHUjBDCyeV6Xt9aAlPLPWy2eW0eVeKhuZWUatmS3Ude5izjoL5
3apJynyjzAQ5jLPtzaNKeoGell4ByorKLUovTJrJ6PWl5mrGyOL4PlL/efpU+9qzmVRb1rdTjKfc
sckOcqdUOvqJSsxlCh0mEcbotGmR3ZBYI/GqIuq/75L8eugpaCixL/QIla+aOjj0XWadnVuU+cGs
TBZEhQ9tDld5h5K2NFFAFITboKrEb+fF1Anl3B7TWNqEBqkjqXyf1L2jIdoebD+FZpY86bFvrJpo
CfDxxUFpZRAlemR+LgfiLWdcYvB4qiG7TZRsWKOKg3JaRI42wyQJrTlBTB3Vp9lKzppa0mNqrpRK
MJ9DRwcROF/Ng+Gy5O1Uxe+8QBP1Lp36OyGVtwgqHMb3Xeo2dRd60wDAgjWn2w+yKKCnLiyeSPoO
oYzg6q5G+Ejt4taAPy4KGlB0khMThV0c9ptcx3bD0g+Cr+IKjO5vczKzmcDJ9r6b6nhPIPY5p7OJ
o0KzdoSvhSu9MG+NqgBZoMdLIaoiVJ103we0Vt0KH4dnbswLhhYDXkf0sNEFChaXcd0yKaPFh5+7
mCoyZvjBVd0b3UONkWY9EqAIDwMbDrtS2GL1zvmKh3KtWVntTlnxKPqS/OoIo+fkdU1xIU/mPqmm
OzmMvR7O+6oow7suVW9xQNqHcRp7sini2i38lKRSmpKrUpYfUevAiBn16qET4JLKgoodx0xybUYd
GeK+9qCOdnvjq8a4tjri0eJO/ojO/fMABjYkp3GxBNDCiCRcY1EAvT6Pq1mGXCeI83O7tFjGeWeI
4Wqom/X7p4AX/dxfrd0f1yGCAeoXNchbBnjXmjOT0TA/Z2l6aoR6x6p0aWXZE8sl84nJ5guY0m0/
luvUSraNGkLOURHL5AdWqqNBvHdsJ1eh312LSvY0TFid3ZLl4n8rOkF/gldAn62zkIPn9z/6L+8Q
JZGpkBrBIJlO3es7ZGRdEbV2kp+HDEvPdLtMc8Li+P5F7DeSPTwYxGZAR19GdHglXuqmV3VR0xES
BS6hP5dB2AC51ndawcIg+wht474ntkHqHyS8rle5zTNIHMtgDToBRKSt+xoKnjhDeTl3V12o2Tc5
u1JXgAOQmUbpxcBWTqGxMorgHEnRfvRBUg4q743IBlBJCzHSUNLnBFCPkgbRZh7w7zWK8EJ0717S
al8kwgmXrrfDqkTlxbDAKSptE0MkX7EVcbQJxa6a1W+RDo0ZiUO34NBGMz1NkBtRoE8SuWxDfJLD
MlvNIzk+gYKzMrRj01Wi4JPfKdltNRjsH0pwNLLSWDeibLdwOHDUscUpdEum2Ey8UlYvEJzhLMQt
x3qfHn35uSPzlzAF1sVHS0IPZQ7Kdor1x1SrQy8vMe6WAjA4WRWzztFj5DVzkeUX7ihl27rFY5Up
455x23NC2vEX+OgbKISZiwH1pBYYz7SmWkdaY686dbzOhEjPdkeeDy7OQ2U2vxdV/6ioVH75PCzE
Vh4HC2OW+kZT6WtSkfNvjEIU9Vmzm8ydyz49CwlhM+vpU9AYyUJpdBQB2yhKMchq6Ym7gvw+TBjE
Bc2J1PrVMKsno7AeND0P101mVMTSyVC+DLWD1EYDDtiH5cmFTj4xm7oLvQtMfi1xHmEhkrE8kxZc
3dCXQm4SNgW7QdesGBZCmQBTlc1f6kI82xBjnV7BQFpn6p1QJ87OzCg03DaY3iunNqQES4t4iC2B
JE39KsxxMSiwDNgp4KTx1rfjo4mlryq0G+hHPCHApyb1BgviKYnDG9QT15lpb8TUPljQPyDtUeMi
n+EsSHe16Qb4nwYCEy2WXGY37BxCepZ4JpzS1h4VTXpQwr7C/wH3G8cfAHVpXEljgU2j3shyvCPs
2lMLc8VuhEm6lR3LGg4mOSmD0qOnQXsMcO9WWxIzrXHXkHqqDfKXijFpbhKdNfE5Ue0h/7kgYf1o
5mI9FDoYqAhXfG46qh1dJaWU7CZr9opm8kRKVl7JgQZyLnUJL2Mv2VdD1X6HorlEasmODvYWkUbi
IEV0VfBJtHyOotE2kVbxLaFV82idOsNyQoX+epQUsHTKcF8U7RJyd4n3GCZcQZCadMjYxcMh2FpK
itKuWROPkts7HdraYu9I/WFNIISX11mJWr6K3ZRpFWqlwxxjn7ax5QwKCPZGZtGdVQWQp7UyBusS
tMs2yNtDMFTH3GLs3OIgvkjLoYT4Zu71YDiUoPbod5t8N2WkOIOM2aYcTlJDlZDCYdToJZJ5QFg2
LG7PBLs3WGfMWgL2m771zf6+lAl1y+STMPDPjL5+jMMBfb/vk3Ot9qbTGFjGzdjPN0M/uyXnhm0x
0XyFDL+te04hZrHIkolNBbynfLC1/WrlfvWmam/GIWpoT7FdJt1ZsO/3zQlimDP2S3buRVKfFCqW
97eKRW/2007KTvH6evQMXu9HahjmVBesDEXxTTG/9uM1EUV58DDo2/cvtKg8/nYl5ju6CgWELJIX
6POrPWlo2r6KibQ+z8oUeDircNX76q3RBMUuLAj4S8b+gHEWHQKE6RMjfmMFV0GimIAdM/B7nUaR
vuuydTXmmrXqte4TFtuLQjZvUo5vVD2Y0NQFLzO6OXFKWRs95VgUJDR310EHMMcIw3aD+eZgxFh2
NFJtFRlFne9v8lYz723VvilnYsc0Y99p7S7S1MMcTDujtC+GJDjUbNvEtR0SNedlknAuW85YKvdZ
WdMb93cDhuQ4xYDXGhlZm+TJpUPwWI12fa8GPlGGjRZ8cFd/7re8wLiRU/91U5fp2qubCl03j2q8
z2drfArnz5P1e1T3P24dH/3+NxuHLKWckYNkOkfWTRnbpDDfffBYvP9UiDfPXyYyvMtqMJ0N9TLS
MXS3nhxOzvsX+XnG+OMu0XfmSKoYtKR/vkuj2QwACvkrbJUgui/tkHEmuYtG84NvQ/35GV8kByg6
TfAHNL84mipvLjQRxzkEc6meOcZ8YVNzb9O170pev4qc+1W+ut8Jpz9+vo6c8NPoPafe9Jk3utl+
FK+gLn22d17rlw/66rmw0ZejM2QZadcMdhzZG2+6TXaFbd2znbReKxvu81px6pW8Cj3bLcmAPudf
3r/txq8+xeun843YNfWb1ALSPp0fxp3qgbNe25fm6qIhpcPd3BvOUbjZxj6DuNnmN8b2FjDgZtyy
7q3mTcEAyaV15tqudOy2+aa5CFchEAv3U7HqzrJDctnO3hUHNPx32frm/Y++jCj+dgNff/Q3lYyk
NlFaShHP5YrB3Lr5Vq7LW8VFI+76buhGXr7O9sXm8svR63aMi0cn3qNO38fnwGHz8UBpfPWdT+9/
KvXn5uePB/nP11282R0wqfU1uZLTOdyhNnHmLdiA21xeJUyFV2IFHsGZVunGOldb9YlGmvf+9ZfH
9+1ThXnjz/fozWrDUiNNaDHHszwXnjkMh1lK4GpiPn7/Osuq8t513qw6VmRpfT+n05kz9aofvsjj
dhCfJ82ryAmRyvX7V/v1V/3nX/W2mJSg5mpGFXegG1AJ+NdlcPX/u8Cbmk8brVQI2GXnxDioMX1A
23Tfv8IHX8yLFOrV6y5lpZWbEy9agQ01S9al+jB31gffykf36c3i1ihpE/ck2hA0x7eCEsEeY+f/
93e8ecC6Ym66vMmm89CPTiQQyY/Evl6+f5EPni7zzaok/ECaaM6xGzBU021E9ml7oWmdY+J+jweV
SIQ/AHH/uI3+8vsxMEUhetMYor65pMVIzS+jtjvrYD2RlWshTb7N+3/WL7+eV9d489KkARy9KtTH
sxHr9O+vsuyDrsJHF3izJJLRO2Kgr/qzzKLdqEQ3ph88YS/743sv/rKhvHqOw4ihj5/yHFMbrCoH
luA2OVEiOHs07l5wgb3h8P5dW1JL3l1rlr/61SUV+n/YK0L2qAcawzmrKpamVbUanpXjvOtXlzPJ
Y2zdhgcJeGVdSavr1lt29cvH6lLbU7WHq9hD2LDNnXDz0cf75Ub+esl9++RE9SBDTmrPysWykUsr
BL76LlecVbLR3ft8tSfP+vBd/kxxVt9NB3AFH6xei3js3Tv05nvvpUaEFVF659YlGdzFBKqKlX1I
3Wv7LI7apnMf1bW/yunYrusNYaSO9MEK/dFHeCvlxDcv6Wgt27N0gD/n0tmMvxprxTUP3bdxW3rZ
0dzg4/4ePGoOyK+LwI2/ffCc/Hrr/WuXePOcJL2W6TD7MYasxzWuvlW0nOp2iXPb79CiwYVezWcw
mPfymiTndbkxL0HwuZ0X7oZV+PRHwtE/riiLCP/v38pfr/tb3ZwlQaqmVO7OladvxEak7rie1/Mx
OiirL6S5rJH27MotTb3j6Jh3HuhbvqJ2k6xvIrKY0s0fh4P/DLUK79w/j+6PRfM//5sH39JvzS+U
NPzon4N7NJV0rHWG1yz3P0Vb4Eyz8asZTPUFps3Fz/ZDSqP/Blhn8TQgSLEA9/Ly/Rjcqy9CaoG0
k0gDvGn/KnTp5x2KBiey6wWuQ/lCe9CU32zusWU21pDb8bnLvBluoh9u9Or+1Y25/H0df00SAAvw
00P7+1Xw7DLc4gxrkdbx82JbkaeDJtqIz20RR6lbWHKOYozEYMfX1MSLtQYg36QqhIdaudOVYeyk
s3/oYfxey2V4lUbWRjXC6DjIcufKimQ4igV9i/E9RU7Aq4Y6tOvDU9Tb27JTjvI8XDWTeqrm4jDW
2gUa8L0cJ1Ao+oVkJVf22pxSSDodXcJItb8SrDgAKqE5H7dkdZJ2+z2iU03whOBIT26dbZPTg2bS
lOCsk44h9oM0cwwfoHe2UsM40qYZMXZzwcy1zXEiq/onn4HJxkwN7UnNCOeQsL5vIjkJaYl3VZl6
zI0S+mwKHAmLFAnm6MDgdwwfW/zEGnOIqZnGjQnPnoGpFYarVis169OsVgKCkJpuamkWxkYpBpgb
DspO6GWk92Tt5K/k0ZAuyCuVTvz+0m2QMyYLiKRA0GoVOolHHdB2PGyEH5hWtNVSPdl3WMSsS67X
aE/GFJjNQZ0KIuqDSbsmm8cYL0OF3KYqmOyDXQtzD6wmeMTlo9/3JrAyK50wvrZ5p+9Q8RpEJarG
MG+tsPeFIw+NfVcUJB4JVOaeRAvZVcsxZKxGu64KaLn0qtHTEu9Mr+WeH2G7N88N+ULjBP13Gi11
ZVfRToIa43HmQnHFAP4a8tA+lic0sYViX2ObI28xJmLCmmyslmWGnTHR3b5g36iieysDt8dX1wNd
jWavhkrqNghlkMOO0V7MjCDNdpo3tCAVJ7dRVjbMkJgNVc1GaP120HMYOaPaXDGwUDxLyk5Rnp76
uqE0rKMrvTB2VthRL4p0W0R54gaafNnYww3jz/4Ocor1HVzTqiHjUgyj+F5EnWtkjZv4lXIrS+SE
iZaZepF4tpStE4uZ1WgFK+YYX5um/UY19m2Kp08Iu9xa6/c2WhIWEGzq80Yf5dNk9a5mt1uMFscZ
GlFQ959loztVmbROB8XTaoZk3fSFNGnSur74cqe4g0i1zWgGfAijfzRE9Dmdhe6JBi1o2w9Ydob5
qGbqTgvUkyg7d+iSx5Kvr2m11GXE4Pm9IN/M2nby/Dj6jRdkkEYruVpp5FyslCaXd7FBBrYyha5h
mpf8jdfMeBm/RHPg0suCV9/L0SnUBYRuX71q07w50cc+BOrIw0z4RFqNVLw+OEYrmw42L5FMo11l
kDWSkGGV2hHy4700o7A2zJtODa7yqjxiTQJFaB+zrr8K7WifqqWnYknygmBcqVNC6y4c6MrXBSjV
Wj4nUvJUJMpTmWT7qEkORYrwpVOu5kFxU+D+IPFOiLCdKq2mw2yaW7oFNCGJqqgYmHS24dp1GdGx
IFd1HvZWMU9MtPJ8T9jK12wi3EtCl+1OQZozKdWSTWWXG6Zk0vU8SdUHByg6lH9feRFmvZDg4Avw
/z+vvOGkZM0kUsjdVaJCcLQnz+ynxM2IQQFzShaY2ZM8UYQZBIn5m1JWzVVVJfKtNVvAjMfxuqvj
ozz6bmKb9/LYbqpQfIeoGAA7pI8exKSviInDz8wznfoRCQfwfNGwEHpS4T42rXYLHv4zkTmdg0L8
kwrFwYOHozkK9EIIos5QQWbbKWVCp4juO845eJI98a7FpsnMr1Oa3YBF23dEJ8xNuq869WiWxRFh
jL1phwka+BRt1TE0HKJlHUGK4DrU403AvgSMtrnWp05xylDs5dDmvcYxAyJNQZJcj3eISHQoql3F
s6Be6BHRvJXAnTZGyakv53OIPS0ZjI0Bv8mN0mrn5wnTO4uIisxC+oLkxgjKYxqQUmHm6kWUDoe0
y7bsa5DSSvCqxdSsi7i+SOL0GhMlXa68T12RS4gnSnnl1/UlE8Gew+1Cl63jO33SwSaM0bNNFE3U
8zCNPKBWPa+TpFpSOnDfMGnUlcc4m9xMEw72y+3AOqQ1xdfCNo9yJaNXs6WvPpPFVaki0O8wOSdp
puykclnL2mNkigdVTteyPBHkIiWPU6YqTtxMiaeHwYU2Y8HLiSBZ6WVsbQn66KASa8MBLWl9Somi
2r1/SPi5ynw5ImDgZ1JJLiVMrMWU8roei+d6wHOeEZiBzEeL9zWjxfevsNQrPxWZGh1abenQLoWV
tTjaXl9BEwBCLDsIzqmImY1fRF20jcrreoh5ErBziGptx97710RI8sFV39QPXZm0pa5J0kme6HWq
KuNn/oNd8SHQOXuA02Z8YRkIxrRd3xEO1o9kgaQ503ZZjQonr+eHQjKPUavLDiS6dWoPymcr1E03
k+M7Af3TpVF/MFP9UfjJuFdSTXQ8TXnhdbOZe1YpIYks4WSZ+TTtutHUPhc5AcX6jO4uiqIvKc8q
LTYRuqzAk9taQnb6zr5B2TRvWA/vuqCHvhwAW5zarzHKSjalWyIl16JhgqYa8VaTQ8mLZU4oRCXm
m2nuZKcitQXD6+KCjcZrNcwhjkQ9lJJAYHSAjNb0iHoGddWU0a7WiWAe9NtxBtomJ3ujJTygTjis
Rb6GP74FrCo6Y5fM8QGPv5tPvupqqcw8x09YZeX7HrwsToEMveO4yWvm/f7ME4ytoQ3QWuB1L+LM
WpW4R9069U8lwqXAMLdKIWbHCsYbvHcc4ErptmvhwGoaw9vZbDdSSYSZ0hXPIqhOtZxdgVsHMzO2
BCvs8R1LKyIWt2aOZq1UlLt8CrejT9xPX3dndGk6SUTGrq71b1Yld46/KLgMfROU+tEcPqoOX3Cb
7z3jy0H8VVdj0DliqDNPW3zML4OztK4O1SdS0Hdkvx8JNw2dL+qwMvbKKX8aPmipvKgJ/n7xRZkj
AKTgwPz54ngCrTyxdOlUusYqP6pOue7I6TlI9+Za9uS7C8k53vcemdf9M/+TnqejvNpHa/8MQf2j
DsrPGx8LCG+7hiTZAFe0WMPftMwnecjwNsThOZQvSzpWkXxf99v33+6f16y/X+PNEAs7WieFYRqy
uX4LanLkP2jB/PJvMAlWNi1dA4/25tvMRjFLclSxeUuXFYn0tcGZ8/cV6r/yfXk8/7l8v0BQEXz7
e+W+/NSryp00QhUdP/dfefFJ/pDcU7mjs6eipUQ3yJLgUf9RuWvU9ObC3kV2o1Dr8k8/KnftN2AI
KOHgmLwkVv4rEwzmxZ+2FrZMrJj8frgLNtJ4xXrz+FVCmUgckH2MbEroaXOa2I7S2f5BGiv5kJtN
DylenjqkneE+8qdHyHF0NfHVa4vBXhpgUG8F1pneqzS0K3JZld6IvjhwcPMWn6gcOAlB/cKzny/2
fenFyT8spn6do9434CE+KU2L399oevYqyJk5tC3QWFFceW3KCY2po96vqzq2xX5aimebKrp5qaeT
qKS2jpcye6zr7xKLMFRHSnB4s/0qpCpHFzJxuqRQl7TYXqdL8Y4kiG2Tej7tlIuS+r5Bfj9T7yva
jNrP5uglHXUCixBN7MbIJ8ZDIBqdl6ZB0fSdqwJXBGaFMryULmPECdelbx3apelA+nQOEqtRjnkD
qJK85sSbRBwDN5BiqsfuYmybCylh1j8EOh1YHTxwUQweVH5igFLRSiW+0Kn+nmjtTZTKN5TGGaKm
tM0vpSqZT5pOsENVroNShA+kLjkm0XU+svlTr6dA94vwu9kAUlZLAqXVAiU4qcP2pGU3kjCGdWnh
5DFRyLl1nW3yaml3kByKSRC17mwKV1Xy8KInG46jTYwe2mjW7SgV1wLpvy0W6c2EgM1GkFty3Isi
6aSQzAyDAudfV+p3DWAbM0xI3pjQsMrI+FB2Zw59DeI90BU/Gn63SKMlG8FGjj7MaZDVbl69ir9o
GP1i3VskawInCQcqjhs/byScIwYZBXF8VtH5rTFhqc+cPIj4mxL6Ri/X+m/9W06i/7z+nZ7rqCya
51+sgPzcnyug/Zsmm5AAWbJMHdP3zy5AVA+ApnTgnQsR5scCaBK9y9aK5PB3dhbDvB8LoPkbKyJu
QnqAOlYh8a9alxjT3yyAXMFmowdMo9FHxab45jlB6K+asxpeZPKs+6dQbY2nUZHB1xt1ngeXBUvc
fu4q8SRCfWCDlvIqIepKGh7r2Ww+2aFe3Nh2ZMzox7qBNKrcbO8brUOjvqSfeiIk4EWPpE+jiu9m
DMijTlU1cdRRXFoQj1CCX3Q9oMp0ekYA8qyGvr7isCsaKyNLUN6oaRZdqBN6fCUR3tjDCJfqPSdN
GH/g+uk4kDMXyNNzUqHHr4aaKHleKo6WhBNMlOAOsIslbQuVYW4ilutQ2wV1zXQcYHImrvUeRWMk
FDfRqJR9VFZWjfi1V56rvLopNfUptGKyeP16WOc5K0KgziQVR3bm0NejWtaN61iYx95qHsgcWSci
T4+gkA9dmHSrylcJfWxMiGJ1UK+yobQwEiTXfVXeVfpcnrSaTG4CXxVSh0jyrAGJE6CJK6hOGwyW
Gs29MQ/SI4HnWCTLBzgTPXIuGXmgXH+bm3ryEntMPavptoyZN7JN7krSuqVpxusJsToA5xH9trom
ahDKXsw9AGwxOEFvGdso57/0fuwQIRafciJvTNTdlg6uu0y/KEl4KwqScds21o+E7e6iUrqKSlJi
egNps58VuGqAVwWL87FI8fsIcavX0AapC76KIj/MtD3LyaLtJJMRm+cmaZ19EZN+Ox5yVIitPPQo
o/NNGqEDJbkJi7/S497JP8WiocoXyPuVMfLQIN8QPTo40gCIK5SttV6Z/blbojQZP1vgc/Rdm4js
E+3J0a2TDvtIT52khecc6jOxcCTBxlN3V0/xZ78fOM+HNUFRurw2a+seU/mD6bNv18pzmrFoj8vH
kPtraYLl5c8XaUIocqSubf+Sh7UALtkdUzu5nCfxFAk7W+eY1db1GEGvtpOWs8B0aAWPnWLEx0It
XEwLfHDJupfMUELpNkSOEo++I9ULbjs5G2V2QXbxAXbEZd9YpD31NU0IU19LWvWkY3YJDfUua9nk
REFqfS8uOL1oZCh1B8mmBdVXzM/85taKzc+ExZ5q0X1T/ey2ac2dQmRo3CfKTiYQFYsM0RxGwfdA
tMzXVBl4xeYA0++Ydm6Ziwv+ePALQ/hQ1QZ7lZxdqL5ySdm1ruzksyT5jlXY8op9Doamll0uUN1j
roUHM2vz+1Bw1E6nVOXwlKcHCRAyvr8JLbsshGNm2fNAZofXTumV0vgPZDBNjkYJTS2vb21rPqZ5
e+oUTECd/jiI7LnVFMIoueigXsVlhEyWWELS9ZpU3uiavtVK2J5kEpw6OhekP1r5mo3O1dWFrKeQ
rWWEGOcgJUQLM6F5wSeMPSSFac7JRl3oCvbCWVAALnQLeSF4gTBUC4+hSmWkjwujIVhoDeXCbRgB
OFBXKOdwYTrwnRvwg5mtGgvxQSzsh3mhQNQLDyJeyBAtt8AbFlqEsnAjQK+a2ip4wUn0C1mifYFM
UOHjAljIE1IMg+K/bfrFILxM/t/ZpmnYffnFHs0PvdqjF9aRzRZtoPFfxHg/qhRC+Jg8MnakPPjD
j//HJk0+CF4RumwGhcpSKv+5R/Mv7NE0ItGryJYqM4D+F5yXxXv8qumGMhJD8pLlpwA5lJlxvilh
q6LSWyuMw8uqi/GEVslAyqthXihqFLKgBNLCHMLrPuCrgKwu2wyqTN3HSUtc19qSM6W9GbDe2d8B
P25r8lH9Z1rzMcpgiLXSAWMzRn0ljCc4SzQ+4OUneZTB79XDsqccUkd6ELMxp7i3yLmhV2/mJh65
fiKTi3A3sKATh93ORFtQR1W4NbEmwIaMDSIbRkZe2yqo7djJyRtYiWpI64tAT+kXd9pE9FlgyYVY
JZZw5bntpG9GZLe/n4b/O6GqFLTvPfr5L5ivy8/8+eSbv1maCpUH27u9WNj/evLBVwiorTLxswIS
u8EZ9MfxFBrsUtTzTvxJiv3reApHkB4w6DL4R/K/m6xrNm/ez88+5GtoiQpZO8KUOUX/fDxtZrqp
ndHhbNXy+QjtU0ZRVFhhpbvSCMhyiXzq6MZLVNsp4ee+WZwmOWs6j/KZGrc15PRERKOctSvAMwK/
OOWbpOPiIkTC9gJGlzn+58Eg5G1o4y64H7pMKkk/C8h6WSWU2+Wu0WsyGOzeEONVF5vERIRSEaxN
o5acbszvVbljEkHUebscMJumb4H+MT+ooxpTZiA1a7/DMZ9DV8wFI+uMyeYkX+cThBpFwStbEIGG
6/CQV/5RGcZPSEUXzxaHq7IkCrnccSDxyTaE7xKJOCJ6Fx5rOppwXSzyrDt/ZiYyzvcYcy7Jye5W
aaCRcNdg7RnzhRkI0Jrw8X2dT1/VBX4Tdf1DOxoalrEUMLZsuGQqXDZFPq0H0TMOoWYm1rxqHc2c
RzdpEcnQfYdsaoDLtWTVYx46uUz1Kkwi/VdJHw+pFGFPrv2a5Gvl6zgS/9FRO6MU2OJcSh3Q1MfY
Uqnu6/oTogGocNVwxHDXOX0E0WbGcSRxGKvMDlFU4juZRJK2D7J2p4dYOka9OMdqcV1Vg+Ob5QEj
tROSFYBzClGRCd30/9g7k+XIjazpvsr/AmjDEJi2iZw5z2RtYGQViRmBOQA8/X+i1NUtdas/M+21
k0lFFZnMRNy4ftx9LD/E0jA54xwaHJNeyYJcEGFEJFqfRVztuibwNijipDcNMyuJUhb7gJUKAxaF
KwbjW1FqrQ7t2kqSl5FxP6JAMDs4CxZYw0tueZyh54Q4gNrhPI1TjkLbvSSkGWxWGFUSMR+GZN6R
JzuhOZMUV+f3ST1dZi6F6thJN563ZrvYXUpyCYz42BVxGplzeEvqkL8LWudTllZ/tLh44vqX165F
zndKnUbtFE/c95+rvMXU2t4YadNEzOr2RpQ8W4My3+dl9UwfPZbolMHVeTMbbHUUah8mVT7MhXuq
k5ZdUJyS9hQg9S1AqbzR7fQCHdJC8V7NY6rUS815uM3t4WWO1bMl+kfR409LuvVQp+FN3rvUhQQb
4Q4fdKbV8B1KRaNfkJlekDkZ0PbtDONDnK8FZZHWCKKRnJJeJMd2aO9HjwqcIPnWutxu5myB/KYV
DX+1sCJhjk9TZnrc9IArpJeeDUOeSUh9r7mTbcykxYQgrQfkqX3WiUd6xAkDkLfKzHTAhPMgfDPY
BrRVce4Y10kqrjK/MSJiBvdzVr5kwq8PtbW8V8k6H4sloeuZ+iPMKGFUG8yLpIJJjF71W85eiNcH
4KOc1+AiNJcAO6R5SMy107nL+0pREB7bpdiBH3nEY1DB3i83liU+O2ofNrJrr7mBPck2Ts9d5dCW
Zc2fRRbe5zjCNx55+1jZZvZ46/KlJi5M04ScHSe2iICMuCP2Wq/30bDicnxAluKtw5Z1U1iG5A2Q
LVG7SDcSMj0WyfzupQOImlfXu9kLmYLbK8sQn8UwO1s5lwCOBYSuO/h71uFfnRIXicyOyyrfaj+x
uaS31KVDkDSzdWF27bQPZmPa2iO349kWp2RgpUhAM3dwO7+y0PUJGz4sQ34BEnWXd4Trl/kpHdqH
OG2/yMXot7XqLhcZ32h7esP4snEWJmgzTTyoF557XUaSF8WvO1+O6pAX8qWWwxL5iojXso9pnVTd
TsE4kGinnsN+IKtMGnym64b/eVa8zc7g8HGcSZoeTZRkR0JV29AeCw2c6lN1C+ZTF0qhXsRF6lVv
88IraoXjQ6kGG9pCPncIcZHTG882JY1pMribpfDNzeq4J7OX31kZf1s7k0x63gxcih6bjl8YAhF1
XuVAgmNSt/u28m+nvMCPH9OBnigD8Gm6xmZ5z48K5JHerJUQe7rO0Momw96spX/pM9dS02qeiP7O
IjLY5pNQ7oPdxK+pj8DeldlnpXpFfIDi/qjWWtfaPGG1XCMcm7hJfwsX//uC8NsFASX8f09J15/T
+48/2+LxVb/mJB0FyRxvm+zjfoKG/56TuCEQSG96Gk/UgYy/m5PCfyBuYCRHyzPhA/Xy7decFPL/
cxnrw4A4e8t2/8oNgbih/xyTcAUCHmJH9LhA8138cUxC728cN86Wm6y+dRZ/iOx44Yk4hE/zilhp
LvALoV1fEuh+T53Yx9KURuRz3m1UWiKnZz1X+SE890V4A2AnyZzzPmj1virH8Hld2ydH1V/jmOxb
w9M5+/4bG+2Gcl7Pjnh3Hky7uiQcSEVTPIVk9jjXyqRxukS73bRe8ewRz4i11kMFjluANpo2pe2+
ktvynCzrhxGjGcRFeFTt+FRkw20XCmxzpK+aYfCAkwHkbU6u42k4S0XQ/2L0F1aQjyzGpn01S37m
dZsDxdHXcRoDrFpeGKOK1Ps6NV7GJqPO093Agl6XACcr5dNb9lD0JNU94oMat5xA+zagupUSEOJ9
LBCQ7KYvLA9rdrs8rIQOZVMMbtP0lD3PLJVyh84pT3D9qrFoh4b7Vq3QQR41H2QGmuWZZI9w2yqr
Z1CNAcPoyKKsdlsSKYoYIYjoD1cy8Xm0L43crZ37zGO3LQiP6cRD6I8J3cqjK5nu6D/p1ydLqTWP
WNm1KEXtYKa7Mmc/dD0vSc7FL01KAqjlquOm6Tvxpl3RLweznI+rmjyyMZB98gSPmCkQTFYCrmPX
ehI+F7zKF59N7l6VJqb6aVi/rUQqsVvljUPKw9NQ19+y8pNsnXMrSsm+rD8t4wgT6qP25PVR2qax
S4tGp61MV6Epq6hYnAtSMV8W4Z2rhk7Gyl3eKRVvn0TV3yeVuLdYrqlGnbhcHuY8R2txY0bWLD7i
pQcja52LZSysTWg0/mkxaMxdq+DZmLqAG6SxV6F9MLOJYZsjOojVaQ2x4Zuy8ciwrFneGiBrbXPI
iPumj5YwUjveOyNRBqT6gwiNz2tZvpSu/SUdXrM4b1/pSQGWLJ4IEnpLqu52RsIhdy5ghFtf+44c
IZOzFmnOj0pR7ep5OFcjrCh5Dq8TrdK11b4PS7YjVOKCkYYshebNy9SwjR0ghcKsuRF35eMouqe0
d6dNMxKnY/p4Ymf6pygjJgbqrWUJBVroXXVEpK4p7S1O/GItxkzz7xJV4/jNDZJ7mynFt+obR7g3
c0MweuutNrM1g3/r1ZdrMV3bTrIv6h8Fg9s4QVj1Kj7ITJmbsBQMae5ym3kuWZegZyEkIn93j++J
KgtiU9+rOK5pKSuGyOwFNExC8vm0PHrrgIVAlj6hoP4j6sAFPMbbGqRXZTjfOdTBgaNRqN2iOlbm
sQoD3ka0vU+A0WMfP5akX+2IXf7EZtPwgbIeeRu/+gMLBSuW10Pm3fWh8yNcF6oaDHUrY4JLq96i
YjKxAUZj0l9KLw3xK3cWMudc0jMU3hfsfDdoq4BlE6xKtVjs6b3wY46H96Jsb2OLtIzYd+Ntr0xu
FUsb7rrcvWiCXtyuTkCElEwJUkXGfGhq63u8OPYmKdYnZMlLZ00+rNo6j+W4HMmxN3ZDYV+nxNTC
3KT9Homv3rPt/ZSNv+5G9qFsnmlUrIY23DQD8YUUrsDJuRRGxqK7XC3/gkqSczZSypcO911CtbOp
nJO3imu8Ghey4qfMinZLc7G5cVdDADpiykgr2q59sf37yP/tyEdn+99H/m35/v2z+5OlIF/1hyOf
wc/zPPefrQy/XwrSdMNGkIUhEAHAw6/VCGqfRawnuxRyhDHb/06501sT4H2AGltHRgM8/IWtIDu0
/z7zSVMISKhhxYx89x/owrSoSQzCV8TQTQWFjFDw03Lvy2naUfB4U1lt/h11vKbI1HlkVubwoEb7
IfDVl5Gae9tzBZMuySRJ0O7Y0gebyk/KHRzxR5cUVjSXBH+B091TtpBwEMv4oKjxDiquKWnjf4xO
9uBN60taDV5kl8zndiOiGQz2SH/W2Wlovqp8PfiH9X4t7Qf+rq0aKI/omIq5Wyxww8GYR9QmXFGV
/STIBd3URfIj7yly6eI7U8w3adIfadRq9APozk5Ncy9wuG5y4NbZpp+T7Za38W26VSsyw3hOENPX
Rg6r0hOzXMYZYx2tlHDgcJD9jtki2I3E/e6cIj54XPZJa6ngHRrxSFAaKcnhdnScHUlHxDx3bkbf
7XJarVxEQ50GBBiuz274A9Vr29nzFcU2Z38aXiG2s6jJ4UOFQ8zhuDDfeBPJOu68fE6mPE2Wv/cd
GhNDM31OLC5TYUBLeFAiFbEiSrL1mNv+jcr8a18gacruWRruxzgCJcqCNHoS/hw/anvrBMJ7Z9Ol
gcDm3Qe8QnEGzm3Ibq/K8roT4b2XmR/FvELj0zVH6QVhdaGvnipbvOVBeA0WoaJhqsUel0e/CWf/
AtXj0SidOvJW8zmjs3aj6vxideKnZqZ1jadS0oHs9mX5KQyyWyfjsXHGyzmd74fQ25ue8Toa+Xf2
EExZBLBEXYOWtJJeTHBD++Uvy4M5srSmPOCKX9OlImoInGUbiy+rIVHJ5sfRhSKNL3vi/bMHSUir
lweSKz9twjkpRl0tvzm19+YgxJBSO7+LUfH+stp2Q4cy+daDvLSm8kfMOzLsHCqCQZ+t0juP3kKJ
3fBjMiiNtVNHp2YcEqgNNoctyzI1sG2Y5q1PF9EGk3a+NdIx2CxOoPdmxXM+8CKtDHkbl2N7Iyr7
fvCaXdhURxaNZPX3Q92caUNIru1RPs/9G4Szw2fujRANYqHIJk8TYJB1ECwDlvRuUV14igGJN9Lv
5wPx1iRNj0pEY2vhhhxTHv9G8+XmaggvFWsmjqY0zpfdUBXt+jT9nAldLBBMa0lciAcKjZmwjMR5
zkQud4KZ0iRIipRpsZnpJd6Geu4McuibOjywH2MkpbZyO6iuPGeN8HfVRLdco5w3Obn5btWzSJny
lq7V4IHhdyQPuU5kZNU2CcL5IWiYgGWa3szp+kNjM1mbBFuo5r3JLD0Sj0isHwk4NX6bLbuePZXI
17MQpBVl0WoGLxmTeRq4McmM6d4biAthdu9MQnyZ5cts3Dd6fluZ8mXTw0wx94u0hjrmJlAIqhQW
xwL6x1aSM6dxZwi5O3QkK0VJrD56TzxL6bxWpk+COveNvHQYi1tyOtGSn91UL1zXKo3gLK6VvrDU
+upSpOWlyV2Gf2uzmNIWncF9a/SFx26NXecUXws3oSb3n5s2u4LJ+uh6sjnNyr/xuDt5ozTh9VNn
4zD2w4cnRmTG1oc55/ekp13yy+MSlpPFPRT+UzWh8K+lM0SE96S7FvQVUlFsueKhonD8y4EP08JH
z2cw6FP71OtJIWNkYOnK2GydTUYJ0t8vCz1bgN4NgMMefqypCilvrAiu98l2F4RVUgg7fBr0eexl
2JJkNIYZi2XzutbzzKQnG5sRZ03id2OpLlNGH0PPQNa8fDf0VLQQox91Sh2bXtAfvrCi8ZP2u5LY
h4yOxkWGlif6uC/YSX7PIH6jxDarx7kmKra2n3x7pAa54bdR+vGesd7cBjFklKdOftXEuHxGmqs5
HZqBnQthan1V8l7rqxHiqiT2tTt3pgVjD0tV7yAJ+30fD32IIwxl++8Y5d9KrLSq+b8nosdR4qmo
/wTn1F/3ayZCE7IAyuCYCCHXyubv1iAmchGzD/nkmnLSZvFfM1Ggy02xYFq2h7aqlx3/WoP8d1nG
X5iJvJ9BSL/Dp13TFGxi4HxtYCZsCv8xE1mEfleGrKqbFb3fQfcXk3Q3M5vdtabAHgFHbHIoAepW
ir0LN4Bz65DBEaSjcapLaqzhC2oLVQfeQPXNewF/QBRLVMAjzKt1mcAnrCn37UIjC6mfvPUwDARg
FTsPqoFVMLkIP0EHjTyslkJd0RhEWaQ9nivQCAkjMf4GS1S3gcYnQg1SrL4RdZAVnuHu2STeprO8
aTR60YT5K8FnPHChMrj9A1+OuHxIF8tuRk/C2ABxuHPK81KDHZlGPNwluBxgPhzYD2eZPxexXvUi
/CBV5lEteBFzJjoJNeJRKL6RcCSID+dSgyVh6j5htdiucvimUm/fawSlo99wo8LgVkCnlJWkPbG4
zlW+bwg6Q+QBZMn90thYnfESashFrs3WhHpJu5WLOxyMo4GY2mXeqTQkAx9SgTiE32a/uqV37FLQ
/3HdtHemdPYVnM3iWzfkZO5HZ75fWBWwIsi4dVrvjpVGWWm8TiJ+8RCLvHEcUeaAeQil/0AsfGo0
5lNp4Mea8+tFI0AtLBD+q3nbazyoFSdMofBCg0aHHA0RJdBEscaKKhfAaBmnBzrud/xzts80hDRA
I418GzGHSFRoUEkoeXAzrfEFBDCay0WroaY8Z8bLNegkNfK0wD5lATk7Kv4hWrIZ6QB6FNK7N1A6
I2PwLkMNUJGNl0aphqqyLr03oKyoYRSXrgav5jZ/DOL6e2Cys4qruwpCK6+75yQ0EQTwwEQJP9Sx
0UBXyB6NlsY5iXxoL0djX5kfRyVLpH2DQ3KFDHPX4sAK6FjYSBLk9C5MaOMngHazFRosMyHMJKRZ
aDXlZeryarcaQ/vZIVHPjEL4jAHpAni2lX6QjWeFzRUX9qcWpi1uxgARBzJPZgY2f0yFW4JrkSOh
4Ux0iEvKKfcjnFwGL0dP8X2tATpfo3SGBVRXabyu1qBduNS8M2HvGhi8ABbPcRVdS+56bY4xU56B
XgW3FzbB/QjHp5waKTWOT35hgPjxpt9QsLBHuyHpV4OAdlLQRq/hwFxjgsa6vCfOiiSiEcKSV3Qz
cMwME5mFUIbWT9xQg4csXA/Zale7pbhnBuQqITYTmCIFUe/DBLY4T49FaW3HObglTLyIYBhFpDTr
6AA9Em9bbwYwSH34psvkkf/cEjprsY8cXQy5tbG883tdzpRe7mTTCEAI1Dcb8caee3ZyxtVMScEu
C5Z6hy75TgnncWkGQGyvWvh1EQgIREENXye5gbXqgX4WyU0BrSO2kzBinc33o7UlNfIO5N9/2Vp3
Wlydrq61qKA07tvR/Oy1SiW8KjtLhKsGAavXShaxyJ8MCzc+ElefM/kZWvWqtf7lWXDqWhGLkcYY
Nflta7WsrfmhC62gjUhpQmtqUqtrSYbONmnFrUR6iyndPOKrfm+9TB5CHo0Cma51RiNKEe7WIYXu
YnBztaZHc+uDyiu1SYS8bZH9ci3/EQxOOOuDpXVB+VMhlP57kjT03aVnW2uISquJLrKi4a1WhGe1
ZW2KaNtp9bHo47cJObJDliTkLDkmpcEggmJZ8YDbCETMRquZHbLmSA7oNnAIkVZa82RB+KEdbwDf
kUQU5UF3SFqEVRu5dEE2LZBPuzZwiG8cX4RWVi0b+6up1dZV667ZTwUW5wAkJKoszV6nrs8fas85
rFq3jQvrTRWzXtjle/enxKvFXocNZ9jZz5N3p/rzGr+q7EKkzl2NLBwgD+cGpRTIxZ7WjT0EZFsr
yY3WlM3c+7S0ymwhN0+Zx0dbK9CG1qJ9rUqXWp/OSKKUIbo8ZT5TaB99rWSj0+5WpG34y4tUa91Z
Mr5g8SbmHBm8Ha5xOQA0jrjJffAhLZaXWja3ueXRB5WxwlwPpZbWay2yr0Z3FWrZfWIY3LNzz/EW
OA4bNeR5F51eode7+orcc4VYN5ZMwpZh2LGP+JM/A+CkK1UP+CqJkHf9l1xW6tBRHJCRQ74u11Zq
EhPX83v2l9U7JsGASS+OJM+vczys4Y3ldGRFr8Z6jPtBnPDdX5ddGgSk1y7LYZ1pAk/xCew4PPJ9
2BKI6FpXNiY0nkZnD4cuHi3WyOS6bo1OcPHyG54QE1GeojeO0CnXQvTJEevcp7OYn/GSfHDk6Gze
mVujsa0Cf2sXJj8632PvWHLLMvM7hlnCcpL0YJs5ieqxw+Mh8V5pOqBmyGKJq1puChbZr7bNXWbC
/or2dJHwYjcfg3m2RHyPuftoGMq+zjr/xmmgS7OxsqKiNJ94+TnFrfKzmfPzBA2zb9r5ruu9Qx70
/ZZ4PvSSmb6khZEeoy4IitWq13rgAjiXD65Ytl7pPlVhe7u0+bDx1uKkhLcnqvt24nOy6eW8t4bm
0ZfiOw/X2yFUdVSmvAUwht5bRkeSQGMdlIC6Da3++qc31l+tY+0NpBLk1Y1PoAX+9HTcZXhcdt3M
/ZPnfknr6Mrt3Ot31QzcQG55v8mk/b720DulUgfCXXk4B941Q+5r1zWXBB77XEuMnUVeLlesN46W
/aTse1SWCz65R9B6VjwqfWrWvomI1LhSFkdtYV1m8XARl/LFbaxXFReaw/BfetY9cvaniIJhgyYm
rsihmzxXi1lHllGe1uzcie5qTpI9abp0rWXBXeo2nNGG9zQ209VKGZpZkwog0FEK0qB7Z7nkFj8e
l24ZkBO8q8pCBvMqHoRGejDdzNvC2x4LaV8qc70YO8fBbUnXgrd6L7mqqluHJuVtMgTkaarO3k4p
2eu4ThuCaDHJulVNxjlVErQPdMeehci2M/MPn3bhKJjHW78hwDaEPj9g1+kvq5Yc+NbBe60JcZnE
h6KMjUNYqZyZMx74cLklsfGPOHTOXuZXBwxOp5BpSzcXOLm3WafQ+2f819/knvN/ektueZ++9/+9
oNZf9esypjVpGtEBTX+ukwNuXL9fUBNsQ58wNpGfAOqvy5gw/yFgVi00Yu43vzny/q1JU3NjoyJz
pOOWhGj9C5cx52ey1L8vY5pbZczE3MeC2mMpq5t4fm+kxQJfg5ou1o0LcFEcqVojziJoiytuYJFY
+zse7S/4tphahvKgkvCFGIiellvgD5kcKFVAambj0+Er2zmyu/N4q1JIfDFC6XvVfHLmfruORzc3
3mSSsINjqZTcWHmYXMmsDyLiqykktbiCFL1HNA1NIcivPIVHtEIRB29QsvgmHAMjtxreVlkdGdxI
y3anW4Q7MhNJGOC/mxfrxMRkO84VEboee5XyuTZGknA68zNr+i+12j8CTM5bORa0kNjzQxXMbJRm
4PXFeOlWgb9sbZGovSCa1vC69pblwhDFPf5DTtcacnymZAS+iz8Y9184xAR/sP/eTRbNC9IGx8oo
qoqFva1S0kdg5b6bxSsyXtqTT0DdfObizvGoNN7G/tBRkaUWEbmFOVcYD3FibxtgW0YMZwjfrUwQ
wZzNdEGm9ZTCzdTFEdJSD0fGuBnE3OywJQIOmOG86+2AjINlKU6OPXVW5GVcCZdEDXdcdC1+sLK7
m6STH3jMtRvWPLxUgO2bvsPel7Y5Z3TN5FK13qtcO5tNL91+ohM8ZGSPCUBvPGnSwe0Txu7B89Vy
x3uTi/qYm9ucOPFUevJMrRY6LTPdVUyP81aFY39Ok8k/zB1mxhqeuN+2ENHQXE58sIrxyw5lQNRG
O0ZtESdHYsg/Joz5G9IT9MkO92BRo77JeoPqSdP7DA12BWOrFDH1vFVhEE6lOfaRdPPyNnCSYkcG
C6Cygcgbcqc4iNJJdsXUuweA1M9qtsIDsxTcdGeUt/4qkzOvHNu8WNXvgY7dtpfMPMam4LUxQZlq
G3epQxMQdUA+AZoVbPZHs9S0VuAz2fQ6RZ2He3ehfKkI9h7pqk1TVnckJR4akMwdvzxBP4D7BdlG
Y9CSfkF9OQeNuHLaEE5wIBGbgzMIxIdZwRKghKRUdDP1M8FyMW7EtGN3bXGkxbW3zWsQSj5zybnL
bfOoVvYeu5QgElJwnWDeg8B2+RcbgOUYgKvfSfbvW3C1/mKIV7O7cFjwdub8WBpWsiUoEg87N/+9
LNtnnEhJZK4xMet0Ne36lGN56t+MpH0ppQ7LD0I8oBUK8VSRyJqbPvjWkj9btbzNaU75toQrUTVp
kl4uYwB+2AwEEYx3tBBx4SOeJZI1WnM4ep9pOX3DVrtXSYB3KjS+VD7oUzx7o8jzXIrydfaUfwD8
osOk6vRDJLzipTiNRfgl+Zwa2p85VMEjoUC3rUV/NkUam7qT174pvrPleplKY95a3Xw7rF1wCrru
SP7mQ7+GT2S7xDtzYL3cjh21o0tG/EK2HBwbfCOv2T0HVX2hcH12QXqfmOC0fsLmYaTP4cI113dW
HYxptX3MZHou/PgmcMhonynlWhAJ+aQAz9GfyYY5K+uNqMPsIw9gNLxioEXKmTJijEaHxUEozh4L
uY0g+R9akzqinrSMyhzrnee0t1IZD5Almr0rsnNSE8c4S7zxBe3mfEss4Bc2FHt2/aTjSpXcVdRW
w1v0xt2oPzyrGaOC6b900DXQeZyFBxNu+b5MumYb2D3banoqDn3uoU+5c3hohMU1IkdHg7MuecL4
y2EeWbTEfeZsmSjELlyZI7zO/cKivG4LsZ6ADG9gJy4qJ790x7naOcq0Dw69gjvHbMjqE322T33X
PJRxbG0FbaBH25tdnRnBurxcyYvI7IPtaItcznebVnxqbUVfWFkzYcONa8sNTylT1z0rUqjvXCpo
julEqcWYW97ByOFh8gqNsU1w0NUVPCWPqX+Gq/w96ujQhf+9eX54/969V5/18CdWBf2V/xp3rH9Q
iE6+HmZa12GT+odxh8Yp7dP57b/wVf/ePRMMyKnM4ewJ29VS/a9xJ/iHyRiEz4p8i5B5J/gr4w7W
h//W4wnn57vDMgEl6Gq9/ne5IU4+1chBs7qZy0A3RmTYridqiJpcI1bzAHpU9HwuXTG9scq4aHo+
EpQL+ohGWRZxRyS0uw6s+yTxdkZAg0O1UFfhmZlxYQ7ruxvbK7luw6fy2n7n5xDxTRk/sC/xrohD
oidzclo+rlN7TQ7GLk/S54HaXcWlY5+Fwbka7DM+hq9iXp5VinAtipu27BiQ7GOYodNzAaPUrSLl
JS8tcN+FXDJwMcy1IVI2oMRn7osn5Rnfisn4VFPabv0Yin9WbNtwp/6g1y/B5mlcDyYZARjtgGUL
BeUbkkCd0o8Jt23RGoU9YhrJghoX+ZxW8s72kp0n6a/xF8FhPVJYRi37mFwl2clrnPu2966cMv5c
WZYs9a1nNWpLLTElVN5+pUquaqnvtePvae0+Tm7MyZd/LYlGjEr7LuiWZROMnGBT0j9Jg5vmMg66
QyQt9/OA7aMNebZ23vJQQQBvB5/+hj4w88jh6goYMaJkS7HSKkryQx9jGuGx2G/FkByLlHtoZZDj
ivx9T3GPvZ1hszb5gtZsZS4db9JwrroW/ZcjfGJtYDVnth/3sp/pAzKkeRjn/oRGnxFEN2R7ikbc
4xiHS/FcJ4afXNn9Wr2A3JP6UBJ6wMs3rdHsMM5Oc8ak4gZffUhcTjrdpENXROjjSGLDT3msc9fs
B9s334BdL0NqTy0auXqP1brJrZjTakSoW+p9wzb7qlrt7ClQwTOLlPlIJda3IpsrDukmu1Eitymt
G0mqWILHsFYnp3IPDfmCh5KCxmNHao8x8vgdTeVQDLLWh0nhf6xE1W58Luk3fQ0NafJaEll0NaeL
JCIooxJG+BIbSDnf1gt8RjCq5jFpp4/eNr0Lv7AnCMP0s7GYFlaxmKwFrGuD5u8ByXzmpXepGwmH
8dgRxHi0O698aL22vJmkXz8W9sLUa2VpNInmUQbDdhg8ZP9xpZQlc4+zBzcwxgbHsjPKzSCXGyR3
7LgOTZYVto+dm9kKC68V7JeMtMphMd/nuInaVD1D0TaRU5sLN+Um3yYiZOqdhXEyjFB9K3KlNvXa
xqz5hvqAFab4XjhufyxHxfDeBudCsQqaVnAUGg11F9uKIcBzw+5OOVZ8mSZOcBVMy3UPScQK0ICM
lxmfzGoiRNcM5u1ATeKVEaw0UFoF7moqw3Z/s2E/2TDn/1RCKZT9fxsiIP/0PPqdFsr1G9yaS7Rv
Ex+D2+0P55EnAL04DkIEgpCj4td55P1DE9/kCf66Yv/rOPK0tKp9pJ5lOhjv/lqww88o9j/cvql6
skxSm2zQMC71/4GE9+PiulMRGPSSV0TBwiBlMe/J0qshVQe5L/yFHlfhRJCFd5xCbOYzlDtFmqpa
BrmFLj6tHdtvMlDyCF2TraNa4m3bBmqb9f2HquZnmc/fGrO9YjV7IjoluGyqstvRc7aJG+cpCbtD
ZWF2S4byfv5ZPtQ638lJiSafXsPYMe9CEzM0bYkAPnlHNqL/NSML7HPVPFR2/uRbmiUpVqyiBngl
q8dXMZKdmVnNlgZWtc+TBtuRNPakUowbVowHVRg8WWMYsX6sztQ/K4rpY8l5plgUbONZfGvKyVju
uFkG076cLVWhNOli9JGSnQb+Wzeoh1jtSKUJ941Fu/qke9ZtHl+Ybpzd5NLBXugydt3KHtZY23RP
+2jmPwaK27ngEXSru9yd4bqcnuyejE14/DDi0gowQfm7r1vgLergc90LT8uNvSMQl1gHOV14cd+f
W7P+aO2UpsK6TOnXAqriSPYqYd+1RULhGBPvliyXR5Ny0cJnF4Gn3dTH9Wst5DMXPOTjdZaXnP5L
ZPjhrvZB+xPaEkt53Vv9oep0Dp5/nt34lT0S+8zCWU6SffdYC/NkgfFsUn7uHet5GypYluAXqxPx
/bwEyZCdJ7izHX4htQms2KA0yqlu4sB8hGoDym9YF4aefyGqbIAuVm32XPQoR7uOQgcENhVcrfZy
Z/aYxEyP4ivKRnkWNuZDAugXtx11l4QOt0m4N2b7yAhw5+b+KdZxetN4RHXqt9OQPA5BdTOH08Ge
bTbH5hQJUiR7Rc5C7o4nUeUvri/ZSKcHxdGGxQ+Ju+uP85g80kV32ansgQiy12wAE5zxmOVl2kRe
6xLVQz/njLC8h7OxdcHkJXKKecGvPN+MY/6Zc5WbOr43Y0ncHbmO5EnYMesQbpar+83uWGjUJozT
WF6B1txT+dacFndILh1DPGSj+qgN9tn9YzdSmgU0fZek+bbh2lQ367nzrGczzNU2l/mhz7ojTjmu
zqygSFT9Vo10Axo+t7Nh4UhtG4jMhDQJVC7eoeo9jC25M4k1XL0VKwazAdSVzWEme2MrrZk7u/tB
dCaW6zh/WJP0RhE/3HY08brWc9ma1s60l31LSGmUFcZ1bIaHvKqvR/hJnbf4McUg8I6KL8MEo4kz
lRdlyR+zwgs1jMNGddUpSMbLaagv+JPrbp4dB0uEOyBvqtLeWxleL4CnurpPTULCCJNM3vLMZqBB
Ae5c8wv661hk0xupv9D+024J+Bac4NsQ1FfViKeTYrEt/oloGJxjlzSvi683LHoERZS4DOzxPrBa
Gqlm6Puuc16zsTupvqNXdoqxEIs7J09Ovu/c2Vyho2WdrtxJsS9w60Ncc6kng/b/s3cey3Fc6dZ9
lY6eJ+Okz4y4/Q/KW1QVDAFikgHCpPcn7dPflWRTAimK/SuiB3egWasloAplzvnM3mtvgtheh058
H2nxwRf1nZ0VAl+7uJbBxF1OjgGdaSya+zg1bqqQ9yIt2mcj5asmKkjaGs1A2mz9AdUrmNRNogET
dLVrPiS7vKGcDSoYFh4heDab1gZTbqqVC3T/yaqtBRioDrAH9D86XXYVyhau6UZUxkpW5TYdu03X
ou4b4wPppBAmxotsY9hWaUmWdrXvCz6yDgVYWid3nsgeYyQjRmluJSTF2ih2zNUAZQcf2zq8McFR
Ah5PGKV46GSCrd06n2OirNUUyPGY5ltPw9Ans102anzD1O4Y5PEe2Otjn+g3SITx1OK4U/NSzCOW
5kYbrrKiOJlpvg9t5+3v2uRrbYI46le9cvaPRfjq/6xV5ge/tcqq9UE4XP6mJiZ1+uQ7+7YZUG2q
Fvz5UKcYy0OT+L000T8ws5+Klt+rlm+tsvaBOkfX4eTBl/2rtcnPqHuGrukOPjZ2ERDVp1b6XavM
ri6og0TqRzZ2DMoICZZkKjaWGe/SEEISprJ2tJkyG6LQ+gU5e+NNg+aa2FpOTxz4T3GQzXVJzIko
H5EeqeoZpxXb4KjFBzKr28w9pbkcd77eJOG2lIN2CwZBMbdqLSpl5rqKPKWe7u3iwRLEy8VxpN6E
NuYYYuvGpH522bx2x0ovKvNCUbNugTq9YhFhxp+FDZe9gXR9LSJHZT/shO21LAe5NQgwpsMYkVAu
vQkbOBo2QiS7DMRem7CCVVlGeI2zLlgGvUseZ1nJZSOGcG/KAcKSx+4fDL7nPjU1ZmtGAx6SVNvg
XIfb1pwDzXwCfvtox/5zZHEGAyhJ54VlvhYyfbWgt9Nbp6XxAmt5TkTAXCv9bpuNwlzJWGkeO5x4
s1YTDBy6GKQzQ1cmnZzq96pCe+HGncca2mo3tZ5p20DxggOAMBT9aoU0vWz67VgU5dowQRVWtC/I
uUhZNB2GzMz6EJrjEODNLRYWrDnItt7CkeneaVyCb73KPlKUjtvYYFpBYgB1mhuwui3TWeVrjMIH
J4IvCFjPBvleOO4rHCpl7bTjJlE5UkEnrtFWkGNFUBPaZ4QktdE/GAGwk7gboUcD8s9Vt581khTw
oOquYr3HxBTQPrrJBIUybRNrUaGdhB/HN7DN9GvSCbLXSBjVLi3D7B4jOnrnsHzJhjb6inf9e8Jn
0Pz88tSST/+YJ0/V0x83mtOPfju3JistBxctkMmxMDlkfju3NI1/RSsDDZQzQ5uovd9aKvsD20pL
F5BCvmxC6XS+nVvWB046XXMtdqAT/PUvjfiw7/w44nOmRkgwKzSB/hhf0MHvzi1b9VVELGZ+0hxw
mCjfJ/frMFDd4A7Uel8lUjdeJdTRWZppKASy4FNKjZ1yFzpc0Tm1t92UYPyV06iwJjCQcLFuzw/J
VLBHYfVxoIJ33AKFdD3NrRS5BDV/a1XeKWIIOCu+FP95ZF96FBb+rBqjQiwT+I+ok8xOoO0RV2MQ
tpQFRrsOvADtqunQ8wmJcFJ1mb/T5an+sFAdfzl6OWW6MPNNY3XpQiGpoccdg3CRZQU6a5JqJ1pI
24q7VpWwJIZlp5HnKl2DLFzBJsKszGeLv3NeTLrP0sVpw3YA40bfsa/MomeX2eNy8DD7N2gXUX4F
W2B33jYpIuIs0n6ZZ4pYo/tM9qapdAfwQnRPbUpOKCB3zgYArIkkbtGPTkzv5ua0UelGaiCrua3C
khVOXN4BdjkVJb0IdTgZBlgR9NJr6EKzZpEpRAZ3hijnqEtoEsrmWBRRgUk1T1ZjS/58Ze7MTAOt
0V677DFIjEV7PxJcbesl6+I4fGlV/ehn4xVKQFRttqGzGageEknf06C7A8N6aKAEspoD10p4JAJD
Dp48BuJV55GOEzBCCqZZ20hal9gbiODF3r+AubYsjdRZdUr+XGr4lTRR491kP1oq61ykhxQNopo0
e11H+EGMEjpTPjNeU5/L0JIzJ+alEciolobLJCgDbxM167LUj7YZxCvp5sq8bKOcA5xI5EJZV5Fy
jvu8Po5curx7YTVvHOtas7SjS6j5shqIjzNSg5zkGNyDjtxwlhiyXkaxsJHaeMvar297tw9WbZQd
fcN7HMp2WCWKs/Zr3VqYUnw0Sm5lhLULFUn1UEqLYGz/wprxoPbkZ/v9VVm7L5XV0cW3Na9hbW39
MkRSapkH2dSnkKxq5ZLndjK+Dn0Sb0DGcTkVH1nklizG230djsYxa+JiF0n3Ux5TkpvVi1MMXKmA
WUd/5bPPLOpu50plVQmNFIrgKszzXR+hPMqRLGVxvCDBmxGm13RbyzPfRktpEPF2urEOG/KO2a61
441mjUe/rOA9JGG3YnIIKUi3eFxjXSQMHOyxRq8csC3Vz5X5qWb3OUsb9y7DfZVEZN9qIGNSaW47
vCF+MZ6bUdt4LciSwWwuHHYY4uRC00ycLqHPp6/0znotD+CRyZtx5D5vwmtbtacVwc2II4sFGQu+
AI/KTCN7hbcLrInrq/oK4my40snHAzoLbiWBYKRpgQOBhVWs0vDJyQo1YgCkGbOUdEAoHw+2kb3l
lXhJHdSrQH8/jhRZphpPK8TCQBZGZyIqQjfsqPjsNAo9X0xKUI9lZxDinOaMT/BBqydWcq/6aPdL
MXavTY2zMLX6a3QIxVbP2kc1T1elIR6G0D5ifFu5kPjRi/J9cYzaYBHo32c9pF42BqvCGdatly9E
UZ3dMNkLxhLItNq5WXpXEY7hBQyWDbQid0dRd+c03oJHbucwTm9VYWrrwMRJNpZqwYQi6peloh17
vgZnO3evzYH+PzGwNyWkQ9uo8zVEn+jJsLyYtlzwt6IjjGtj7oblU1BirpKw1GZWkixVJ3/z3ecQ
d3Yt9euY14R7QJ1rPuA+mThntiwrQP68i21szApv8lCO6OO7NloHZWmD109IP5LKC3lOS8fB6WOa
gJhN/yqgy5xZTdjuDUXNlryhw8Yk474n60RNC2Jo8pAJu5Nt3B6YSAOldNvnOLYVTFb47an3J+Lq
IzOVcMtxTACGYSKY7VdKUN5oIYZHhNpzP7AaEAWTK9Cvn2MtAGSAEIzSCPFYWRLhx/BD04qbxuwP
hqgjBuLlukEhbcbFVZcXybZQu5Mv+2sx5EvF04eVyaQnL92NoirdbTAOzaprtNfYZUZf2zaidRtb
2TQ9+rsL/NoFstz8ZT31jxXw9eewfv5ZJ8gP/1ZRUTZRUDmGMG18O1PF8q0T1PQPKs0hZRZoYgRh
7zpB8MPkohnQC3/7qW8VFYYdsIamQxLOX+e7/XFlimPdsCj3pl+Kxub7PtAke8KJvGo8jfK+dDBC
0FC8e2F+gsGefsPvU3AiCyZDkCNsdr+uxkP80GmyVLGKvtDVU90rOAwRUofoal7advPrx/n+L/nj
49CMv+9oc/SgZRWaaN0mYmJ16OyXXz/AZJL65V/ywzzfR6ukNQF/idYTbGbc2UhV2Aq5yslt2iUi
wHndfiqaTROeJZ4SNXyNgpXvn7X8IrMbn4moLPH7+EvcJBwKlya66TiAezwhv36m03Thl8+UD9b7
1wLbg4e1dHot9KWHaKss7htChXLVOHVTcUVNFA5vNiikkv/pWOHXU+FP8x2nnf4fngDOeNMSvP0m
0J7vnwAxIqpshT2c6OAgDKtulRxiFLEoWgpsOHM3Yqu7jRx4eH0ND7q7VnFOornJYVoKZZxXQFa4
FBrRrqQvdh0bxmqdpNCd9V3nCbb4mhKpd72eRms9doGhediJsihaVla1LZjGa225UuXAiHpYB+Op
tcJl6mM7LZUZALR1hQI/1c7eGEEGfKixi1NU1b5z1GUCqstatEDatS7f0ohAa0GgEhXkit0Cfitx
grPMKCteRHXeqA0wqUkwvxnKhzpiQa6AwemyvSqNSxQdoz5dt5mW36UmxDl91Je5eysNa2FQ4kaT
xMUMfWNhhKWzEA4KnDxOPoHgn6UpuHrX9Mgz843/EIc7qVbfvUOMmTh33n3xjR++Lmio60j29XgS
a33jbceDvNfXzrY61TP1IDfMRZbw1ubDSp/v6MuJBe0/KVvq2bVYW8dwFX01ff75R+a75/PHry9r
vvcfWYOsQjudPrJ5vM3ZrnSLiiDbVSn+w3H0s0/m++PohwMP48KYBIzYTxhkktv+pfSR588RdVre
f/gS/NCrfv2T3n8JaLPf/0ku70elu6F2CljxUfLjUKKHmnVU8nQoJ0gwv/7a/+wEpMOGDuXA0mXG
+P3jpQhybZsYpFMXkfk7fm6V868f4GcH4PsH+OG1Y5FlZ62vaSeCviYBb4c7pP83I/lPPwj/6UF+
OGXd3qVGYn97ctv9WO6kdatZj7/+O352Jb3/O344HgfuaoInTO0ElHXeJ4hsLbrOKzfov74j/+1p
0zF8rvI6f5P/M/3m57wYqtAP5P/7/h/rr//sv+aLJ/n03T8sMwaEw6V5rYbr17pJ+NGvr/f0X/7/
/st/IADjt9wOxeu//vn0koYZS2RZhc+S6+Xrv9u+/OufX63MOmXMr8uj4xPEnZ//4LvSiFmTwbbR
NhyBa/xdacS8W0O/aoJwRlUmOA5+HzZhN9Nsh5JFUAa9j6YhmUEglgLr9t8pjYh4cEjHmbC3mvjh
61s3XVOm1tCdRH6ufGM5gMx496KcvxZB/8ia9ExApqz/9U/+vndn8HRA6BYDUWT66OaA1fzwOUQB
G+uN3TSn2oh2of1RESfXvNTGRvXOXcuOePnrx9P0Px4R3z/i9Izejc809qshaqHmFBWNMnMGH8TZ
UOfaZIHL60tX5c6ulWZxZcWwIWprZUVI0kuv90zgF9JG05ZZj3SM2taautJh6k+xQ0FccALssqjy
px62oJltlfjNpbnNaHLzqdvFk0Rn72NxyaZeWJ+64mrqjyH9+xuDlhkjd7gyTVsnWAZDojf02Tyc
emx76rYZoVeIzEJmxrA5acidtt3jdid7IGwPCi07AyrafA9sSEk7bwy0x1Z38Ty+4Z6ib4ioPbcM
ADTH2mYCHQD5j/ucEQHOwrtqmhm02WPLCKFnlNBOMwUVxCSRdWujcHbBNHUIrLxbKQWTCC8Yjjm8
7RtbCrdiXzrU2U2O9HhjUd9EalZuSitQ5GX8UvA0aYWdPOEelyyzr7AbmBujliPmXL1ky+ccLJYd
ipEeWNtv+5jFh+tdKSK+wj53j3QMpTi6phmz1lWlhc9Q1F9g9pvLzjSOfWHsILgs2rg4SK9bAq3Z
YgA8Czg8mVcuwn44oBA80K/mCzkSJeub3b5uxX3ZaEvDQJqRZuMdAGZ/hhE2vgqb7JzFct04zO/H
eCdy/O49OXCEAuNJKHvGmXWL5skgr7aO7DvWOyzuFeGvtLQAANh0kpmOhsEkLIcDUQ1g3xwN4/qL
q3QnI3Cu6waAmMoKahYE1Uot0p2XhOcmU266FjQJO1dyO2nPQ5dtqnyxA1YbqhVdNL9buk3aMHxR
FzCwqaKGC9EHAdZFpGqdse6qdiXYR0gLnpIqFnme3zDvPKdeCSm5Z7svk7i97ofg2vLUbQUwxSmc
B4jr8942q9tCKNzXYfWWoWCBN4bSGSXESIVoCGMOqeZVdP4+a/CGGSreStvdEixpkZ5AQobS4YH2
z4x/jwaJgqWZwvsz8XUSCN17+7rON5XJ8naUhE0pV67rLjS2yhwUlwFNB6IVgcHb8FZIIj8aVQ3W
SUlxTyB3wbs/bGIw2dsqYT6D/5N1jbKL6/G2LjrEp4nEcpjfRC2ejajlY41SkhmF9uQ20ROOsmNe
JuS/YKyds4UfcC10iAu91tl8OWb+27fe+jW/QnVcf3/L/V++9AxuoV9cesFTLX+2XuGnfrvxVOBk
4DuoX0yQ3xOp9N0wQExOLSTSgmTPd2vhL2EGUM4cvEmTjnq6DP89DMBLhk5Et1zHprXmx/+SYYxo
we9upOkmAp8KOYBbiWUsDPkf7ofpwYukTM4isWFaGA3dgNF9RCzmr2WpnIqAM5jh1jFONIJyBrIQ
QKLjbgSyiZPylTnpEX7OLV+mZA6OEdu47haz2h/Re+gbJ2lWlvSwkKobiAzLNFWmKhJata5+qk2J
sYkPMnk7y7pn7mdHx0E2r3YULDtXX0oF5N+gFseyN55RnK/J7wZJUeegl8K02URFtalcd19H/jLX
zNWoRUuUpKANycq2aMBsLtVOCxrstUZIU6g9JQwkNCEeAtGaK9sjMKlAQr2uAC7O2eGjubbqndlL
aMzw4aWmbFw9WsZBdAMJtUAFzJ6gLXqAJZOjyClWnTVhF3lyex1r3nx0OvzJmZrNFBhFrp684I8q
1oNG9Rz6DHiVwbuFgf6WFE2/EBns4qyOjjEe60XIQhZ7UZFghLbpQft8QJ7tLHE/7QJTYubvkjtG
7gpb04yhZH4JqqCcZY67U1vFh7wsj26m3ZbM11mUXbhJFcJUUfsNeLXF6OBUwlChaNmlD9ieGY77
KYrUa8j3CnOB3GaUqafzwdJvxzT8BE1g0SVMmlHjIHgKwwPbuX1UijfYqNYGsCR6nLAZltjhfA5B
/dLI4D6IeP7+QELeCMBibhUGe668mBWZbqC8al7zKN4q8D06kpmMsA4ZzKpspUIeRzAaGDzyhPMs
eEDmft1XRj/PnYLjWG/Wvo9hq8zgfsoBomuHT2QOzcllUhsb6zRvTqS035uqx/tesyBS+3Im0uKT
2oQHGYWHKnQJYfdVh2g9xtmGhgXKrQcN6L0OLlISaK3nOKTdQxma9jZRiM7w6/BKRPmnMioBJSQT
2jMkuRvsldXxRLsWLZ2atJtSFWdNw/VvdtPmHtWB32zrrLhrlHad1xnKnXyFzBKQZhoi769bF+5D
x14hCVg8ivZhLMPXutXgvPfrLiwA/WfQSTIL0/zAXzXY55wiZx677Y0TJyu85+V4Jdujp4SrQbhb
v89OqpmdtdbbJOZ4UhrLXbQDMj1UH+icWDrlwcj6izWqFWHAUVL8+ZaC9bOk2MgzfmmWmkQ2W1rK
7o7rLhXtWxD38aJPdXupTXeOHtef+wjIdu682VHfbHOlBCfYuO5azcxtoJbmYkR+xjibgmTmZG6/
VoiNWJq9Dg3ADsCMKA4lDVpPH4LOLvfiaJW2xktjSmNFfNdLrrcP5dg8IyONlnmNYsvXu/PQsD5E
jQAiXlpyyXHU6nOzybRqr/mJ3HP2TGbPgml/X5Yadi25NTOuaRC0aDXuWhE7zjrAjbFuCCzgu1Rm
uK/svhqRwPu9unQyEhVmhH/rzsYgwbGYVTpq/isEc0Nz437NdHErRd83fQNgxkSW+YDPVGtPsSw2
uc9Oooioj3IjNlZhaPqzEm+ZWvnXNdrYuSTl2DCyZlUpVb92FGtv2j1CWQdKW5NYz2We15RbFuKx
yHiIFXyrQQurQBWjtdNzPsxx5jC8QwXNFit/LDzjCbWqtpAOMyh9BALvBuxj0K6yROu0mRB4HSuJ
sn6I++MAw70P3WjFSvJoZNVF8Zp96uSPbMVQ/ulUSrAlapbZLMzMZF7r/S4Y8EnA/HPt4imMiWOc
9MxSw3rG6p/Yc9ndCC268mr3oETDpyTQ3kZV8Ft88y1u048ZBB1l3GlDDxTNrLA9VtfxtLgXAajE
ftGjYQzsowCVsHD7fAqj2wbo6GBh99a8ROkGbye9suwJxmi6/lIoygU5g7bobHOkzG2OIxwg14S5
wKtQkGfMJrLOCY/SiQrD6lAAGQxtWM8ANzJPuZXxYjT9e61CM+QYkbcIlBhKdOx2PPjESIBqp4+u
Oh+xFC30jniNzqGQT/uiA5vfHQoHN4vjgJHxVfsUdtmR/Q+GnMI7uRmD7rTe+I18stwOzE8b3wyJ
Ui7HFO+d53KBILW88xp8s00HlyrJd5FCiIPdjA9N6QZ4UaBlxRKHAaox6FS5fK1d944DeiUKJqpp
MGWq6Bs9yu+ATq+V0O7nrS+2ZacDhCiuXTP/HHLRzZCAXRlC7g2T7x3kSW/tjWoFYbja+krLlSA7
f4aGPZoFcbx1zcGBsZPNCQsp17UZdvPQqE9x2JypRFaZJj+2qbopYgjjRqPxAWyMfhkLMlgxfJXs
iT17ja80mNus/BZW3K4zRVHXFj3fVvKCzhGfnQiSiWaOLXeEfFSz0mKTWPd3CRLf5ZBzCXJkrZRw
9NdKp+4TrEZzMDsILvim7X1VO1sqdCalRm0mM5FuRw1LJBwwbJkoD8Bh6VvDCM9BE9FYkxWjZHQt
HHIccGa3GVONr4TpnDVEVAty1tOFlffPDKDvdbPELGM/j4b+3FtiVdTYpmP/AZuJRahJuPXS4kHk
zkY3qpuOtkaPCLjQhngukmCvVd2Tj1ytsbVXN0b/1oQXkMOAB6W4yYzpEAcwxlkfzP8uu7+s4qbc
oz8vuz81n39SdE8/867oxiVPdcyu7asE6feiW/0Aqw7rCCnElNc29e63MRPZS+yqTaSYBCmxnWNU
8m0D53xwVRiULv/qi4fkL2madPGHohuJM7IpSm97st9NwOL3Q5lEVlKwRRYnGeUP1Ds48GOdUDCl
Qb+EXe1i5h3yoMxwr6bUvFXOEnoua2NX5SY1R8ZVEMK0P1TV2FDFxZP63sL9RcyG0xfHalTmRUsM
gHSeVZr2hZZ2mMtY2I/gH10wkLBzxIKGcg0inI+ni6PQ7oy7DnikEQbZben72NSK4tnqHKQQxV2l
Yr0yUm504uSfk4lGmU9cSpz7m34iVfrjxPNmUL0G3GucFd3ae1RIS/kF/90pHvxTkOAJbPABRjis
/WcvdTq8bZlY+hNInFKBvVWuXLPST86uZFqQTuDxRMeu7aE0X3ghWC1foeLKPCAMvVEtK9jlNQzz
wCyvnAlqXgTxQ6jptzJ3i4UC97zApcVKzL+rWoheZb1tKHkQYqgbD2a6mODpUUCeCzT1TERH0hXA
1vj7aHRv1YhqwpwA7JUmbgmgBnTMmyAJQZxjfEboKVGGNgDca7t+cGAsMJIIVU4b6iNDnJ0J+x54
4SUk2JRyq3O63TCIaj5kxZuoip2wsitnDPftkPtbPaqvKdkIlTZB3I1VWs9tK5lFFpA/u0gW9hhT
nShKQ8XvamgcXIKq442TY3oIs9o5uVoxrBPGcTMISlvmUS66gupVK1uAVqPtX5SGAc4YmgA/2/iq
HLS3BCi9NausXCxQQhDVEFR4rTNsoV5s+gtpgo7LEli7fpyfAtRmHHjOCeEUjZsFQdEf8jdqbyhS
ar5rKu2qyAvmHuimELga0OEaNGiqqayjvgWuoTaPVhF8jGPEWlXjznHbQInUkKiRHQ2wEV4k+Rbj
Rzsc6CfyzwRwrRukzjsjUy6qU7yBeVw2Qb9uGEjNs9iq5kJWcNzB/xZWuuuluTR8/TSo8cnQWb64
0xhN5NG96Lw7M8XeAPQ6nweKfVdJ3+Rpawev0GrgeiANy5JIoEaI63SQO9GF6zKOrsMQo2yTfOpE
9RmrYM48iNZ3qNsrp4obPKzU8LnIjqbDi2sayq5NkDJZYhLlYSldZL59EKX67GijvqjlcF/oWjNr
1YJbZsQEJWEfDH27jYE5cE+Lqy7pPge81gADCm+eWWE5y7XiQc+Ko4td03LyVRTokC1x3xLkurIr
tLxK0pUMs/J8HkfNvh/icj64wLmzwXyRnXnsSrr31IkOpVdp87BI4znkvDWy4UcnwugPS1aNx4+q
Ul94fsSOo2JxO/dYTUIYnvDCH9sOR2t8dMoere8orokNeBykW5AriOAxpGLbAehTtnDBcFARiNHG
5Y1BtmBQxNeOlZnIFZHdzQzdq7eezW8Zq8DcpLCSKg/EZqSDdEpToo0EgCnYNhSAaj2C2bbJssj5
EA+4nFD92KeIroCnlycLtJaEdfj9BXSGIF5DPDOZiP6+Z7/udAxWbX9+z97kGMh/ctNOP/XbTat9
wIzJpYnp0Ta+SITfjbfMCUFrTRqQL4Oq325a5wM2CaYLaIcnWe/0C3+/aYWtswRiUw0TRljaXwEE
0JV9N976spF1pwnbVAnojj2llr6/aZFTJkUsInHSdBPznQmVi7Gt1TxXUbNsDU5UkXrxBvUEpa/q
fvRkC82ZqcqCrcRnmSY3dtq5KES1RSMln7Ai/NwoYlu35QE3oo9sAatiWLYAlVu5inX1sbN7f02Q
S71Py3Jbtv5cH8OTLpVtGrjHOuZoq2rGtOSfzFvSwPBqO5ssRKzVKQsbaJDsrHyeK+M55sqeo3+8
RkbxiS5GwbWRXYYYzGdeKLdKgJDUa1n9wjJY+Z4FRewhCYfHzhcYGszouq4iMavKeq6m5j4VZbKM
cIkPea4dRWGcAvScM6Fiv2D/02bN3qm9l8Lt9iELWI0RzsXoAUr6mXfsDCpvX1M+ITJZMthXn6qB
6VQXO4uxrj6GmnjxmdrNukIv54j27npboaPHsZBjgo9j5zgkfrAkh3fuifgYjsVTzbd41XqAZ/G+
pvNAK811BofV65lpVU56N9BSsZN7TC1u4NjWDr1TrqUR5zOX82oG/m7lwJUvPfMUawiozW7cNJ0q
8JW55FgDsp0Ovhasm3SweTrRJUuZ57dZf+CSOXS1QxqrVzyEAaD1VkN1TMzyx7LGURbH8sEcuz3Y
B26yOn3LneqoqboPqNtnbUxUdyatJVMmQgmltqk97u269G+1pCKDGnkfXY676ywCiEnJfOESuPG9
YQ2FqV+i3twNufZlC/XaG8V+tDLWbvKe/2+T5SgBjdZBP6qFNY5KeWY+mBzcPr21Drk6sYttOhe+
TwugSwGtY/0Gkn8T2dXaamnA0M34K/7Do9qUyyJvaLZjKOatUt+obbWOzPiTMahoVxtgFo7J8BQf
ssxzg6Dw9NJEAR7EOl4ZckzmI8iqIbALDm3XmcdjdSzcpIbL4uHfGfS15uf7mHzqxGVZE2OkN+Ju
FwUymgfVcFXhNGEvs5cjHkTFCe3huSFm4T7IJElsvstlQFq5fa0VwJX8mVOlykUUbnkNiIZ+igDy
ldTFKlYC+F+a90bm3qtnugI4FbNmUdo7O+s/1lb1WcZURUWeX2zfXStBfIGku3XIJJ8zSSc92gY3
YMP/TAThvKa8UvXE4I8rlqVtT3m50SaXvbEENNth/LfHedTWWHwAokv4iro1PPWWtuDmewSivhTu
cMcbHcycSNkOoXLIymAdxNCs0YNbxHj4UbIADLyJ0mEVO7ClejaUAKEJ6JD3almRKT74VOX9qk0d
n9FqdMCRg+Q1BsnY2+uOqiUtUt6Qj7KK1kPfAPAl6AtbI0IveB+ZvRjSehGE7kMaRZRPVXBoC1dF
fhu6qz61GpIx0ayW4or56HPNkkxg/hx6G9aQ4S70YjiCvdh2mK1I4oYipXUd7y2FtoKcra6em6o9
Rb2zqCPjVoQ+I6CBIJ3YJuvJhAcf8y0UTMtLAFwrWAg3ZuO9lmCbcSOlW+n6OJHsdqP6jCeUks0n
ceWAE1to9SGuTNOZ4d+aB0Zz7Oxs3ysZjXoMoc53PiU6NDTLmdof9g1i7doNuUntvdCKrYew1kJm
toyjhPOvzxS4lPm13hAOGo7VyRA+lLRoA0NsVoTtlWeNt4zVZqUmL57W7KqyJcqKdVzvDotxhKZr
VUtdUbeM3toFUawjp7C+ck25F9m4cjKCu9yB4XghJpA3gFCtedRDjOedZurku/tnFeJK4fsXdXQO
ZDK383FkIGuNHdV9DEACe2tc+NEyVUJ3q/tmA0+sP+uJQuzpcNZc5w1KFYPXYlEz1qwrR2F0WGbz
DrfcIIuztJ27PmyCeWqahK+lprvsIy15iMH8LfyifYvqZh/04mPSZDgd8kPgsvBsqvAayTvz+erN
9CmaG7W4Cvp+VUbjXaxqU2o6ORvUk3VmXirFy8lZcT8pVnXfl/0elSI7nCa153rhzKXKkCP2CX41
T2Ru7A05eTCMYUsHRRQs8XJYZMFaxR/bROnihcr+Y6WMsps7vbNMRLhl+4FPo0vHBVk1L0arNwuQ
6LDBoYu743hSq1RfUi74C19TV4xko5mnE2KCt5YYufgItoTjEnXAIsjD+zzSzjmZIOycQLLkJG4E
9TPo/AWLebTpw6m28MxpnF+VjQk4M7O7flA+Fn1+m4TovbtMXxQJjZqD1qON8fkZo8PGuMAu0kTN
pWJZsDTZh22MyUxu4YwBTqJCFvrqTftT5ZM2Nfq/S2XZviEQRutC7g/jBTQnPwi46hKxzODqwHFv
0tmDuWrP5RwJ/9x9ur2uj/kuXOZzuQkP5rpbBJt8FexMfxMdg/WXuu7v/a3xy0HSTZ48/Syse/qp
3wpcFe8uqQXIdgRf6e+II9oH5NMOhloLV+2X4INvoyQH765LjjerAsGkR3w3ShI6s1e03Aa2Xx11
9Dfp1r/1Q6i+/vQDpDrfK4qmT5BN7c3MiqLZQrf0wyjJcFKo3I02nBzpV2fMYuk1oA77IU8MbTd0
cfxpUEmgdRDnHnGFeDgj2mDBfpQu2+3kTSDyZE36TLjHyOotbUVWy4w8+aXD3ZEkVKztxMYxJ0oO
vk5+vkXYtUA1zj2YF/1GYfvYa9BCahnIjVro8XOI8X0dZZ1HfDXRKxXUrcf/Ze+8mts41jT8V1x7
P6zJ4WK3ahEZQVIURUo3U2DQ5Jzn1+/TIGkzQDrHB7zAVhm+cNkSB0Czu7/0hsT3vWPQMiMKTHU4
U4WKT2XbOZPZ4ZujFlM8MdeDm1jHjdD+qTOpO0mFHlCZdf0UV00X3J58DnwqYwIXcS2YBdKKSApp
pir0DbUas+JwFM35MHzMMaTTAWEnM9wDPCZV+Xe/91zIdy3iChCYMlrS+FhHR+roYM2kW+qFp3i3
cjRgE6eVCz1P6cIVqB/JtbSsTW/Eq6XRjn2f6BNDnMOeoToCKuTMoLrq6Pam+rzFZfPQVFp7wvAn
Oi4SfLHdrL0cS67JPCY6NpJBRWtAiI1wWkIrfhVqTIbbgdWRGsn/EpBBz5C9Aj2PBuhssLr8qPCr
40YNfxS5RREf16kANIVzBdF13yvGWpiG+3N65uUsllC4dk3lMNQlYMl0c3qjXSZ1hJP52OTrNvPC
s77WH6WInk8hY8aQGGi9d0zvAUdd4Xh1iSWZNon6fqm28Td1Y4mE+XZAEwyRp0K5yFT7m+xVWDLS
Gcf5YdnTB4NvjalUzvuYZoQ4cat7WHUxTbTS5KTSlEfDyJpFZXZXrU8sqOhACX9GKFEJMveec5gm
2bLVjNOwd87yTl76CkilMfbQPnVNeoaQkbzgPBkDRLBrrMV04Y5sDGcGs7w8kq4hscYzRtJouZDY
jo37I1HLOw0zp5nj2/f0RpY0u65J8aFN4z1GCVUlzBEQUFgVEdQlodrf3OuiQlQ2xSKuDqeoaeec
CmQ8TxVqAfyQB2Y2ueNqMwspylPPVIOjfy7jp64+0e3X3YbvDLu4djeI1L9Qp8Jt5vVVTFtfcIC5
B5lbvYLScBWrQngBMItMH+JVV5/WPU594GREA1/oI7/uNWiKJm5w2wH4Qg/j71zFHLEPwdyWTZ3u
AYJSKried1AacHJhGqthf57XLnkp2meWW36tVdQWQhXhlBFZ1a84cMbnap0kV5WQT5NkhXx7dGFM
wNvyuILrSaFrK4KOPK9j8o7BCmH4MfauhTybj06bIwTbsoHcLRIibg7mC1MKYmvqNG72VUfrrZQR
fatRf2sDn9Glh2FbJ6ThSMfTZWOo2tzDfWxWKco1jfD4MCbnRrUWgVv0e1AEQA4O2bleCNCZQoou
FqJ0oHl/SPhHHTqI+iBIElwXQsLOF2J26PtDvxWyBApLcB4ototiWu0cknyLnFE1J3UC66XLLWeG
bIlziBAQinAegQooG8Ky+N+Bqz1timEZObQZsGFEHa6ZOigBTw2fXnmjI7rkyXPVa4+jUjppMxvf
POUsy1ByleuMIGBS7KaR/8NodQo2NAkYo9x4RXQjJojz3Pe4jr3gqta5icnAzYmWQvE0PVQFx7Y4
lMzkUfP8GHFo89gEdDmpR4xUHCPEv0sykLp2gfCnxohVfRwSgfKrTHJXejzc0cU/1IR4tp5rD+5Q
XYAdaU9BHAAUrdFBLDp7xRSUxqo7royMX2md9zNkgy6iRLtTtfJm7KJ7yc1pJvtI0Mb9ObbGPo1/
xCUUZHBQm1ePAC4b0xj1QsAzzjnwMUynE5F60xnoE1oGloaOt+J/z73xUtd1wDro80j9KAF0jfA2
5kqbmsiB2+dYJITanchMhyOrRhLa8r0TuOhjgndLiZCwUdJ9sIxHiV5A0Ng6Ql8DZY0wMcZy8Exu
42OYPiWgI3R71UQ5RWUt5N4HsODKCsRJww6WgxGRSChYBksjNgCG0eKmXMKe9SKo11zCg4/LRQC+
Yp6FzoJpTEgBPbLIQeUeSUOF2ohBQd1xwKcyOxU1rS9xmkKPD/Sj3nbwl4kS+WvquxW+7eCosxSU
Gj5+Ezh4CRL63XTU5RTcpPs4DOj7IvJ5FBnG17J2f6hpWk9BZE8Z063wgomxVjCovLsGZ+7YPJLs
Uj+3ahx3QFHXU2QNTWoT/aqN6LO7tXEqE62nDozYqSwZx2XcBMfKkJ1g2awcFRlOKKCtiZK3leKe
S5236GDqLnQGCzXENVKYpAQBTbT0Bn9mF/GdHxsLO8s56hyTXER7NUl+YHl73Is8IJIse0bdopz7
IktwRb6Au4p3jAsMqoq2u2oLCSVMx6Q5g6VdjEQpOlH0ylwQa4OCtz3wbfKSYbRpqJCryEWNU0GV
6cvBc8lkRE6TF+mJJ7KcQeQ7QLvG4yJUpKUusqGsyC9NySkXI4kS6N/bXEq0CzVE2pLbD2AXc8kp
vtTHEu5+nsi4TFKvwgq9nxXJmONzjC8tErRxk6qlm7Ttn/i5iZ86uf+v4+cV/efH8mMEFT/1KoLq
iq7Q696IHQq+45/deuXAoX3umLqiwJQRjfSXYkbY69LZR7mIGseU39nrMoeB8se4nE6/9be69TTl
P0RQEbuRHtOJ5dTF78rhVgVnUkjOcG6gg7GQpTidV7ChI2TybLc4QSC2NwBoGRKdcJd5WMfEW0YU
ldkbI3AxDA982TjtxYC8DZkiNYxrBeV2Gg9atVCV2lmB588OEezNL1Ud9QxTr6UTBMwMNLOzW0cM
jySmSCmsecDq42USwE1zxahJysVpYvqEv1U7TcVAyssZTQVZB1DdJmduAgA0KRMshvnxUcs9Mkug
UchizCWJgRdQnOoImfzURqePgVjAZExX7MeOSVnGxCwXo7NSNqWjUIzTPCemBStGbHJDQ15Vvzhi
+ObS24Vd0wFgbGaVGNC5TOpgZU4KMbrrvfZSZpaXMLZ3mO3h7/ADgPsyFEO/YOzUacocUDcQEBYN
8jG3HwhMONCIoaGttieDGCNCoSimUlMjl4Y2pMOsMRJDR4Ppo0vmYUnFGWort2EgxGbFoDIQI8vO
GO7GQF0pQcl/AEcKfC+eEmkK+6LSbGlYIvNOv4ypHXMAxHkL+Am2whw/z5Yql6PsdDjx1CeNaCuW
4+No27RirPYk7Q0MN0uLUFKh5JE2GMigNEi0suFhOmROk07Vb3KE/xoJP4lCz+dtrxqzanh0LS5E
laG96npCyelnY3nZzIqMdFbrY7ZQ5DpGHgFuaMk03DKxj0WrBHDtuLYLvDIUcMjUp5k5LYkSApJ5
1AKICsPsspETmYqHFMbGMmosIDsn5dTXSLMU87LvvBucah2Snwo73zqetRKIKRt4FHNu+DZB5JEl
DjhVWXFKsyepqEs8mutB4XzLXTiEJG/TogJM0dklsh4VIrRGsKau9vATztZWD1gOnnUwqyQXZ6Wa
Nj7GH9E893SYMSqRDC/iHMAqTFiE1K8s12JPIbtwSGhBs5iEoBGpgSuShECkC7QsTmjjXeIM/T0V
CUUqUgskjE8TUz00RdLRkn30Kf5FsaSCU/aVI1mkKKZIVgyRtoTkL1kvHYFfK7FKi+5pq92EZDo5
GU+og3xWPHItQ1mVKr3lkuwI1Ud5Dj8Yxo9InRxyKI1cKtQDOpG5j9XgcNeFAGLU9CoQ6VdCHhYX
zOQqkZrZIknLBYKvds3vVVbAGyGTozn+GIrcblDd5dh0SKyIvK8SGaBDKpiJnFDzgngu5dFNSrqo
lP4wMUkg8e35kYqMEuVWbA9ElolcxVlD2hmSfiqkobaTyHO5N+YmCaorMtWGlLUVuWtIEos82dIK
s1MQGrg7W4Rfn4S3HulXRCIHbkU2XG3yYoWNhz6Lfq5GmS3NCqEi/U9YfCorCVW/DovIESErPHyM
iwY/9mdcpHwkjCkgZ9EsYAu/iovaAQPsv+Llc1CEoQFEzLEYYKNyL6Ts/yornQP+PwoIRFM0Gxg8
/52y0tqwDt/0iKHTU58iYsS/+CiC4feKwQf6uDeLokouUiXX9bNKbSD0D01A4COt7VQHIC1NOXx+
83uEin6M2egvmahcYTTHabbuBiQ253njHZZgUoo8wBzRplfS6NZKrhVu+bCJ6Yb0uJpkDvLpZKML
NTchXOXeSpLcCP9Av56GbnZeDfWDJPo7htM96LmUzX0aJ41DHyezg5NehzavOeGZlBcXpZwZs8zX
xpVfm+0MsxIs74byAfAQgKqmvGuDejEm0bDEUOlO6nEoxal+wvT80LLqVYpYEnNYYUxUdN87W7qO
6yGehpFypRn1rQfCYIlbHXgzKvJzL0AWhcZBjcNjVM6VwVtbuMEsK4PRp03vEj+K80xgMcHGXkHI
KyY+MM1elY8T2XjU62SpAeOsdJz9BK6zJMXoAXpiUM/fdg4TubxtaHdlPbD4VEBDgYg6If0lBHNA
jQLSvS/V6rwcgxsDVGlEY3YGMAKgqWFeUHQgOAQGNfEDXF9qmOij1HgLVK6usOFYNbm0GjcQVjlA
Kl/AWo3CTo5CpSqo5xi9dzKYOgNnW+IR8gGSb5FdKyehD00nFLDZwkMYFUdJsvn+2qykY7VjdO2A
tbUzSjLZSc7zgdycIA/nP0/VJQBgZP4A65ZiupQPsb2MLL+chQLUa7ZuPzcE0BfuKKBeSqfS6765
YIHxCr8w5QaSbNpNYSgWyxI2RK+q9gR9P0Y9SCX3AlysdyM3KXhjJOPLaalK7pKD5k47BJdl0Mm+
gCn3NaaOiPObrXEBbuHIC5kYmmq4xFb9Oqn1Q0fpMbYczes6LABreN8qMNH06iXG0SowaQGYbgV0
Gr+BWxwZQfarXMZWfiMJmHVcddeSA/CaH43pJwLG1gQqW1JRWVZNZNkUIGwVlLsgy88YxpxHOnK2
9dDTSAbu3SBHPO8FAtzqEo+zUtrIAweoMwMU72pQY5FW9uvaRZBerjDW1gSyXIvCmwbD7ji41mp8
52yBQeeszXSBSrdrq16meNgTLBG87RXVnWrIHGMTDzAff8MkxJtlBOqOmIY/H9JinFlqsgpSUtpB
IOODDUYesLwLaD7qCyCemnyla8fS8DOSBR4MoD1W93NMWcOZ71tzG4VqsvifsoDn55b+sxzl7w64
fbmLV/kwoLgFoB+Goj83B7+HMYQ/Z1OtYzoCqF4c2dl4rDeOcHYVBIEeRSsbtabSHn6qVfnDk5qT
LqsvY7gF+CvSMkhpeME60By0zRRBRDAEJSEUEMRG0BTKuv5J8ZhM4r5TMaG31kFR/gAXREDHuXSi
CsJD39lYAGBXg4CMZCPbh1Cfgi2lOdCdaOFM1LiNwBJVgxkX8kkliBVe1TQLf2yPMXMELgb7wvT7
NTNn4A6CmFEXFb0gQdao9OLQTGB1AoRBurK/qg2Mq5gKzOPe72Y4SKCNnBolhy7jSNjmWVyC08l6
d5XFGl2Mxu2nluRd4RF2nuXOlePqh1o/4IIG7UW0ir+4eb7y0JFZ4BgY35YdDqhuB3cZSxPIVuJg
G+GNZUI/MtsOe2ynA+Gq+nd9moF50IMFlg7HXOhfBj2DZIR234wAcImFlMqMwZi1NIGWOG8iolJp
+sQws6+unR77LkhZuoOnld9eBgZAXRWKiBuQwVtZqcxTL+Zn2/bKMEP7kCbXHYp5dLpwl5hQhPk4
QBQSmF7pp6NDZUPWM1jajnSJYcSdqXG2i9iyyb9xC4VC7IHHHdOVjPvRpMyKW8VOBB0DxkUy9DTZ
EFWZ+KgbzTLubCNP5UXIVGUR19ld4zDOzdlInZsuBkZYE4VfOakQWXSnaaiY91CMHWj7U7MNzCPo
dyT7OpIrPmqIWobASqO31/4QXXbExGkdMlYJDGgGqI5iMiwNbDfbwhsyFNSDWBRZ0tjNIh2moQST
3O0sGhVyBy0uMq8RhF1iofJgZMYFMvePPdpjJIvhrQlhbNKVEluvSU8VzSzQ+B8Bfcr9xLLSQ1lR
juo4L6f6oDbzyJazW6i38VE1FteaysHH9+hGGvRzBBkeuiJeOG54TbCXT/C6TgF9O0dV4J2DAvmK
tvShJpEsIk/dT2IySqAj3aFraEi0DhXW4YBUgGG1M9Wy7oM+w9q0REWnyPJxMWT2F8VNirlh+DoE
+j6d53kScFYa90guh7UpsRlqv1UXgLK+9imMOtuVjgPPW5fIHXiAbSAM58usYK6eWvlFFoFdxi3d
m0uKcZ+HPSStOviuywGu24V5QWn6LdPNpZvH/eHoaT9DubO4Yxm8q2rJHLFP/YVpxQLUQSUvZwPb
LxRdzWBwJsWofDfB0qJtGcwhzlMLSNza/kAJF1pDBz8tXMupehbBE53WgRsirZifBG3MUtflchhx
r2k0kXnL0WGIQNo0sDXiXc2cv1DBaGcYj86h0z74Hhbihe2VC4Ql5WmWtO0ME3EEI2EZDZJ5AxRH
oSXtGtOkkL76ZXcNtzSjFelMsy4+bSoFZbeG8sejvJipun9Vm1Yxd+P6qPHwrEtk5xp614UXYzuA
mGA3T3IJbx04MFMNcGDvSTEOtOmRRObEgQxlUCTVXe4lF71KPGe1CCFQyE2ZriVswA5+u5SbP00Z
sJ9mEwQS9PYiJ/ppCR0/NVbv26E8cYjkk8Ey7iuc+Qq7AX3rKcduqqUIkgK77s3oxkuAkxc92F+7
MacYFoMXvJNt75TEAHc0XHEmShMe50YJh60Jw5UaoD5eoPaLXN53T0InEU/Sr0oJoyZvpC9W4mDq
h0K57nQ3PTkXnl4jcld5ls6LWvOmyCyiMRAVfB2sliZ2VyJzlOkndpFd2DYt1cgq6Ax03U+m2kDU
QE3OoccucDG6zVuOrl8ql7GXUkwP2plmBti1GmE5QX3yChaaAQtf0Ugve+7pMj2DC5AuSlM/Vuz6
HtgVkMegvil6SsCkka/HODjuh/irqkM97iquVEu+awV30wYMApLe6mZZ3JzmVblI5d6eyEOFy0Qu
Y1Fjho8OubHfmrAL+vRxTMrj0aHp7ZXjkaqmt0hr42AUXuctqoUVWZ4VcfVhSNxMfQfPuwwI56xo
rKXclz9Nn5TOyvrvWkLO14bKNAC12VjpkYu1mx+la9eO7sK6Odf14hgjB2XmgRNzW0hzuNWhOGV9
6X1l3hvMP90iu+orhim6A4OLslEOMcfTpkOgQPDS0LvGaxPnyFOkKI6aIJ/GUAvU4ypUcJ31LDW6
jNPRvB2ywLRXhQQk6DI26rydDULW0Mil439q0KcalFnfb2rQBhnmxy0lKD/1UoKiEQ+zR6aWVCn3
DI3q9KU1qzgHBmR/Gxq9MLbBM+3P1qx5QEIkik1DfpEQAPhZ+//9X5pxICApDDWR2tHgGil/pwr9
2JrljR2FViki0XQkESl8W4V6biEXjOib1RgjXwwg7Uc5QAcGKGtNmAXNhjK+gXmNqUPmngU05WaG
0uG3mLYXSZUdWQ4j0cpQcQJpC3pVwQksvbPBAh4CzvWKwc9DS5I4lbKWsCIhU+F26hm+kGQtsulN
kyo/xyf7phtphFb6Lf7gKDX7jr5wBdbPkcZFrEsSczYfETfU5jFTRK0tD78hxPwjH7Lr1qe0ymra
hq5pfiuL+ijt05vakW7cdDjxTescOY+zNvJP6yz4UWU2aa9jXZSacR8DZ5wnfDEUN5BDV1W4Lkr2
HR/qYa6HGkoHNSVjEXeHSLtfD2pezr26W+g6mh9qyCCEkU+MeY39UPiYR9ixeVrV8deOEndq42Ni
RPaXLHAeaABdoDmDkh0aCxPZC+u523UrO2/BpaT3NPe+uwVaXFl6TzsDCHlUevMm7azDykouvBy3
MR/XydD7Eav4ueWxnc86E8Rwl2f3neJAsGQMnQwIuuSqNs4GTDMWYNfLKcrgpwwBjwvdPSU3nI1B
XpJLdAu57GhDO4eeanzBruNnoIePqLZ91eCOudp4m3hjMpMtPiS/JEcuDQbNwIlVmWJN7QsT/+Dq
zHf6n3HoZDMXsEgmu/K0KUGtJ7J6o3vGF73G4sgOoq+6p/5sVLMFUyt+3CCPh8VzmwBJrTIAiehD
kXs0AZOvOlyaZvwdgaGIXkWzUn1DpptKb7NQAKPIoF/MMVrIVs5A0ZaXRe2DcIxykJE5vzUUY7up
Ck2LFBvpvtFemNgrLd2K1ILs6Zi2hDcrQ3eYACr/YsXg71Jj0RDKgAq6otBl8inXPRDCsQpBDbLj
DAt1NHtkEw8Vv8NEzb15V45XmYepAi1/Im67cOXmarS146BDCsJSMROtChfUYxzmk7aJ7oEb39o0
tOhC53eykmE7mrnTsqPt38nBIRAUTFgk/1BOpXAmWSjYyHK2NIHJKjKqdpUsOYc4EA6M/ezHJCxO
qVzbCbTbHKpcfWR6wzBTG5hwBJXrrDBQEUIomd2YTChC7qoGI3O5VED5jogm03lST/Q0Smc9eDfv
KFYdX5tFUXej2lHZzkup8oNvLINbg2mwEOoxA0NbmG4ip18t6psMy74clhNqkJU/pS6wLmhKBeB5
isC/0Ire+x4Aka9ittBEeAqs8gp4OTLjU7uDmwHa0bcc78ovZMoRaN6XcixhOl0EON5ZrYZ3MG6/
s97GzeiosWSX0iHoNzYMWpzQ+9cQi48RtTb7AuMITb2NOlkOzqC0Ndwzsa/MetO6lz3MhaYRVSWm
0B1dMJwkIt0o5nSNLO+rXFtx9V11W48IrcFXI9AmpvsjMgJfP5NVcOuT2Omb/B/e0RPvSPQwfx0u
vwECarbZFogf+zNe2rB1VRWoDaWVtVHSfRMvHRThDN0BiyhE5l5GmfoBrloMz7Ez2PCLiLIv8VI7
gNqrmkAyhaCcQHO+w2H+DpcpouGbnq3wdFcUMMeWAiFBzGBf92x7WfLaskyJliIwMJTwmBsFhJRX
6/IMB30tJ4fW3cc3MlQUH6g4ZQBQ70U9lbhuCzPU85XcGM515BfYKye4gY+HNowtuE512uhHVeWO
Vyhdo9JiKvpNaFve9zwL0WJFUOdEsRLkWazS6C/Itb9oQ9bC4B88HKbbKKy0Hy0XuX3RuUXbLkKF
CVOr43hsYvqG8GSMaF2Q55k6p0hq2qktea4w+HZJjKPBmQvKlTyr0nsj1ruVpefxud6gZTBVcgDw
i8ztNfw1GxiMFRZ2VtBl2rncKkZ02sbheVlHHVQIgEW+cwG+69Go8oe08BZuJX+1mOuknbY0JJPp
IUovE/zggZG7CydBbyQ5coehmGlRwnSsVGbxUPz08X+mzFwpav6z0dorTFcRctXL8LsVoV7uYCNw
Jll5iVi+YR7HAVhEJ6FvOKoIbEqS9lMPq/RQd315ldZFPk9aADFBLBm4GwslWWdVpXgMjKrdzrxg
VJd1al0PinQbq3DKstCH3VPXnmohQafCqKpcPO5sGcd7XTwCIXMFVut1qddaPzPt1P9SeS0iPoAN
504vY7wCwYtVVBlJVRGlni6VKMUY45cC95djX1KU1e/3mCrmC+/2slCoQtuXTFNkp2/3cjGUsMEB
wKwwTlt3NGiukMCbwIkAmZ4eIr4A1meeLK05wOGJcawvtDlS+9N/qRIqtBH/+hy2zlEH6kwKbIhk
F5eit5/D6NFt8yo/W7mqd4zlez+NvMKFVaDTqbUiZ160rpDKMwloeOKdeVbpHiv8jsyoQNTIGlYO
9kDQZscfdZ85i0plHFLX+cK1xx+WgR1i6NL8cMf+poghfqtlgQFohYdE37noafh00Ay/n6NvtewU
6IIuvm86Ctqj4RyOGiIUEGp1hjmToi7ZFA5UsyQ9pGEyyzS40Jmcz7vOO1VdEKhRiqw80LpJkoRY
e+Af3PXg7wpPkHk079oDpIBCxVnT2zLUqXwpR2w0yynovsjh1e9/xW8vEVYWiiSwSZP7EuEDzXmX
2zuj2jl54pYruUVcmYsAn5USHyMp8OdGFmByX3jr37/lhnj55rf57j3f/TalvrXKNvKqVeFp37Ep
muJFkMEltA71pEG3zqXJbILPsJDwM2KKcZqYw+lY4opsS8ZpFti3ckAp3VbST2L1ApHmMzUzL2V3
vDe84kfSBcWsSIv8/42d0DObY6vA65+xSfzpRnz0azZ/LxH7b/2ll6C3/UHP+Nx/TzFWcBHeRPnN
B9to1v72OfGaJmjzgCYtU1ZL3DoqFefmxc6Ns9R7/mNJUXUcinTNMgXil/d6tUa/WoXff8GPYrof
n/PbD/8ewCy/7wz87UXQKP+BbOEmwEEVLy7Gt4sARcXQkRFRuZr3chE+6Ln8J4tA38GgNUKzQ7xY
1g+LYKNkCBdnTxdBDPZ3Ow6aLcj2JHoCbfD228sHnBKyYbBs4rUXG+F1wwt+EDnw3/76fM0/LwPN
OgDIj6yI8vQdxZd8swj0yZhRknEz59+89nQjfMBx/kengeJH5cQ/fdMtV4JJpkaZ83QH7+G9+L4E
/E8WQZUdSDnw7DavD1eCesDQFzqGqIr28F4U1/l/cCbE13x9KChxbcgoGIWK14cIiRmNpXJrPMWh
PdwIT/f1X+r1f38j2MLFncMgGuHi9WEjyAf0+Ngq+t6eBpDQf/tyfLsR6Ic4GmJiv8oSuB2pnyxg
1U8nb/92gvK0RXfZCXhPysj3QwF7Og2cr7chQmwVxwThx425h1cCN9nTXbXLItgHFOuOAyf5aRE+
BAf1APIxej3Kvi6CsntwMA+Qs+bi00k8Nq/3O4FkgT8jgnJj7udOePpgu+0ECzgrfL7nNXh/HFTS
RjHWe7Jt2pO0kVvgfRElpNF3vB41vilf1DZ/UUQxf0VWXaYPshe585ZFkHdfBMbFjIKpop7Txvf7
QcQIG4MVW9nPjInrcfeMiXIadpGCU8S7KwG7YxDWiqUZT4Fo/yLkBw+ev58rWcK4GT6j9nwvbssX
YX8xH9nXc6DsnCvhoSB0YXXGPe+3gH7ABASsBQOg56ixl7FB3T02OAcqyCpUZ56rJ9LwN6kSvuAA
23XRE97TAKk87dBdAqRKVMBOA4DMU+XwfhEU4wCjTC5Mui7itbdnYves0TmgkYowDT2kzYs78O1+
UNFANhSEHPd2P+xeSRoHmrXptD79ure1mERuDUF2X7NGMb7bMVWy6bMJ3NjzFfihpUCWAJnDphP7
FIz3L04KivJui0CIoN2MRCmysZvX+5uB1NkUCqbA6/b1etw9RugHsqGiYfVSRL2vJBW2CoInuiUE
rXjt6/Uo0JS77QdNA54po2f7fDF8vBksrg6U3BRrbw/FZ9QP9NlIj63nnIFlfRsj5APZpLVAA35P
D4UAz+64EwwMuCBDcfQ3e/7DThA3A7uEcdy+LsLzb2eXxAm0slB9NuTn1sL7m4FaCgwzl6OYVrLg
+xcj1J3LCAZSbHUOAx5pm9f740CgRE/DAgQGeFq89nUpdg6XTCYxr1eRFvlFIs1+oKRihm3va239
PDzf5VA4B9TNjGCs50V4vx9UMIbAbKCL72vO8Dwp22ERBGRDE8DHl4EUm/5tjFABblJUESj29Tg8
bdEdFoGbAV05hARecugP1yPpJURV8ib95ebYy0tSgP12C5ei10K1RKgwN1fgh2qCm0HcCwBYn95r
DyPFznUlh0J3NtyZ50Xgwn17KOQDA5ClTmW5p4dCGIfuthPAMTloZjCNeO4+cwm+XwSSKhhG2r52
n4Vg1o6LYB6gJLwBmT/lDB/qSvypDBMU094O7J8bwztejxSNdJqeWwwfrkflgAmtQvNxb3fCUy63
yyJgggIGlpnUM5xpy05gjk1nUn26OPc1e/xgIvP3hxL2Af4RJgnkM4Djw1LQp1U4FaTb+3o97p4z
oBluAeGgrPxFoBRBRPxDg1K89jVcartXExbzGSGcRJPx6fU+Ugi5X5ks83kgtn85g/YUx3e5H8Cy
GGD46Lf8YhHYDzKav8reopq03XvRzOOA8CHd/DyVeH8zMLZXSR+5SPf1Yti9C0uvhfRZF6KYm9f7
NWBSpzogXRznqS23txfD7tnTJg5YBjO7dzcC+0BBn5SN8nxa9nQ76Lun0bq4+0Rn7dcgDuRMNEEJ
fLk897K21HcPmaboQqJKoDx/0/e7gtoSsDyhZG9n2PrOcYICG0gnex8m7ObFsr4tq7DoQ1nCpiWz
p4fC2PlQsAiM6E2mVb84FKL/yJGAJfN0ie7rHYkdzK4VJvgm/I1BsDylifKHcCEf8IfcIMIdkde+
LoWwftix2AYTbQEFpr30/kzQpbQYWwL22dMzoXOX7fjtLSbUmGka5q8QHSB8ZDG/RaFUvNf+ZdHP
me0uWbQAM1Bji47Ly25/fztCz+co7G0W/YxG3GURAENr6B4QB7cvgkB0OKLjIjxV9nInPH+wXRZB
CCxRK5Anb18E5rbcmoqCxu6+LsLuwQG+LFe/hinZU274PmPa7AR6TuYz2vjfuhP+jb/0J/d46gfx
w4aaHDxWGy7wE+X2X/6FF97uxwe8gotvaIZv/qagKj89+wlULv77f9YPSZDOgqoug/ta3Vx8r/70
5SLcvNPzzz9/xY9v/ubNXr7Xy/88DB7LdXmPKfmGi/38QVfrBG7z/8b862H9HuwuBogv/287zfrP
qPD7p6Pj/PjyoL/8lGRSrb++6n//19uVeBVyfvvwZP2QlS8PevVwgunOD58IH4uX57x6Nmntzs+e
ruN1y6+kennWq+dz6Hd/PhqB1YdfKWkWB/cTHp7W5fqPaVbV296CFGfnt5g9xn+ssnLr+lM87Pz8
efzHLCvZPC/PerX+9El2fv6ifKy2GTqKy2znhy/jxzR9ec6rD/4Zx/WwSe6y+KH++HiBdt/5ox8l
+WMZrOOXR/316QWGevfHI/v78phXj/6ME3vyWG5ZczEl3flTnwSpt+UiENyznZ99uo623GGCVfMJ
j66qx21r8hkH9DSr/vjf1HuMH7etzGcc0bP1Axfwyzq82i2fcUTP1rg9bHn2ZxxR8ew823a7CyTZ
zr/Ws8f0IbsPtt1eApn0Cc8v7x8fXh7017oL4ZTdH57x2V+e8+rZn3FMz7Kta/IZp5RH14/l47Dl
k3/GSV2t8y0bXXThdl7w1WO7/pg74jf8GUf0vFxzBbx8yle/zs84ohfx+n6bTZkAy+68LBdxk2xL
7gR4ZeeHfwlIHavgYcvKCHz5zs+/Wt+XlARpvSWWap9xSq/W6R+TR8RDt73BZxzVpzco03X5sPUi
E/PAT1im9I9Z8Oht+xKfcWrFl1hwAu6D6n7be3zG8RXvcZyti2ZbtNI+4wyLdzhtguqP87ugyrd9
j884zOJdztb147bnf8Z55vn1+o/Jurxbb8sZxDDtM/YT7zFFoXvLZS2wTp/1DmUzvjzsrztVDMF2
fwN/vbUmFMOl3R9OD2Pr0nzKYQ6qCGem5uVzvlqYTznLWbzelj2IXu/uC0NikmzbM59yfus1Frfx
uqlePumrpfmUo/s7u9BNt2qH7tPXR3+9bWnEoG/ndf+9o9vOH/13Wv27P5wGUbKtLyf62zuvzO+F
k3f98L8xaN/50c3dloMkVAP/xZpsa8v+Ocj62Kx9UXfc9mNve9Hib9zHj+vyf/4PAAD//w==</cx:binary>
              </cx:geoCache>
            </cx:geography>
          </cx:layoutPr>
          <cx:valueColors>
            <cx:minColor>
              <a:srgbClr val="92D050"/>
            </cx:minColor>
            <cx:maxColor>
              <a:srgbClr val="33873D"/>
            </cx:maxColor>
          </cx:valueColors>
        </cx:series>
      </cx:plotAreaRegion>
    </cx:plotArea>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358775</xdr:colOff>
      <xdr:row>34</xdr:row>
      <xdr:rowOff>31750</xdr:rowOff>
    </xdr:from>
    <xdr:to>
      <xdr:col>8</xdr:col>
      <xdr:colOff>69850</xdr:colOff>
      <xdr:row>44</xdr:row>
      <xdr:rowOff>82550</xdr:rowOff>
    </xdr:to>
    <xdr:graphicFrame macro="">
      <xdr:nvGraphicFramePr>
        <xdr:cNvPr id="4" name="Chart 3">
          <a:extLst>
            <a:ext uri="{FF2B5EF4-FFF2-40B4-BE49-F238E27FC236}">
              <a16:creationId xmlns:a16="http://schemas.microsoft.com/office/drawing/2014/main" id="{2C7FD2F8-3A02-4E63-A813-65FB9DAAD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197068</xdr:colOff>
      <xdr:row>0</xdr:row>
      <xdr:rowOff>0</xdr:rowOff>
    </xdr:from>
    <xdr:to>
      <xdr:col>25</xdr:col>
      <xdr:colOff>197069</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45861" y="0"/>
          <a:ext cx="14298449" cy="7532414"/>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216020" cy="7801429"/>
        </a:xfrm>
        <a:prstGeom prst="rect">
          <a:avLst/>
        </a:prstGeom>
        <a:solidFill>
          <a:schemeClr val="accent5">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74960</xdr:colOff>
      <xdr:row>0</xdr:row>
      <xdr:rowOff>79532</xdr:rowOff>
    </xdr:from>
    <xdr:to>
      <xdr:col>1</xdr:col>
      <xdr:colOff>1565604</xdr:colOff>
      <xdr:row>2</xdr:row>
      <xdr:rowOff>153275</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960" y="79532"/>
          <a:ext cx="1742454" cy="424088"/>
        </a:xfrm>
        <a:prstGeom prst="rect">
          <a:avLst/>
        </a:prstGeom>
      </xdr:spPr>
    </xdr:pic>
    <xdr:clientData/>
  </xdr:twoCellAnchor>
  <xdr:twoCellAnchor>
    <xdr:from>
      <xdr:col>0</xdr:col>
      <xdr:colOff>139700</xdr:colOff>
      <xdr:row>4</xdr:row>
      <xdr:rowOff>104519</xdr:rowOff>
    </xdr:from>
    <xdr:to>
      <xdr:col>1</xdr:col>
      <xdr:colOff>1352550</xdr:colOff>
      <xdr:row>8</xdr:row>
      <xdr:rowOff>85469</xdr:rowOff>
    </xdr:to>
    <xdr:sp macro="" textlink="Pivots!G4">
      <xdr:nvSpPr>
        <xdr:cNvPr id="5" name="TextBox 4">
          <a:extLst>
            <a:ext uri="{FF2B5EF4-FFF2-40B4-BE49-F238E27FC236}">
              <a16:creationId xmlns:a16="http://schemas.microsoft.com/office/drawing/2014/main" id="{E6D3FC12-A645-4F41-A06D-C43B0A70DC74}"/>
            </a:ext>
          </a:extLst>
        </xdr:cNvPr>
        <xdr:cNvSpPr txBox="1"/>
      </xdr:nvSpPr>
      <xdr:spPr>
        <a:xfrm>
          <a:off x="139700" y="805209"/>
          <a:ext cx="1464660" cy="68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0B9E1-C3AD-4A72-82F4-7A96B41E911E}" type="TxLink">
            <a:rPr lang="en-US" sz="1800" b="1" i="0" u="none" strike="noStrike">
              <a:solidFill>
                <a:schemeClr val="bg1"/>
              </a:solidFill>
              <a:latin typeface="Aptos Narrow"/>
            </a:rPr>
            <a:pPr/>
            <a:t>2,400</a:t>
          </a:fld>
          <a:endParaRPr lang="en-IN" sz="1800" b="1">
            <a:solidFill>
              <a:schemeClr val="bg1"/>
            </a:solidFill>
            <a:latin typeface="+mn-lt"/>
          </a:endParaRPr>
        </a:p>
      </xdr:txBody>
    </xdr:sp>
    <xdr:clientData/>
  </xdr:twoCellAnchor>
  <xdr:twoCellAnchor>
    <xdr:from>
      <xdr:col>0</xdr:col>
      <xdr:colOff>139700</xdr:colOff>
      <xdr:row>9</xdr:row>
      <xdr:rowOff>43135</xdr:rowOff>
    </xdr:from>
    <xdr:to>
      <xdr:col>1</xdr:col>
      <xdr:colOff>1352550</xdr:colOff>
      <xdr:row>13</xdr:row>
      <xdr:rowOff>24086</xdr:rowOff>
    </xdr:to>
    <xdr:sp macro="" textlink="Pivots!H4">
      <xdr:nvSpPr>
        <xdr:cNvPr id="7" name="TextBox 6">
          <a:extLst>
            <a:ext uri="{FF2B5EF4-FFF2-40B4-BE49-F238E27FC236}">
              <a16:creationId xmlns:a16="http://schemas.microsoft.com/office/drawing/2014/main" id="{7E35888D-7551-4994-899F-DCC1845969DC}"/>
            </a:ext>
          </a:extLst>
        </xdr:cNvPr>
        <xdr:cNvSpPr txBox="1"/>
      </xdr:nvSpPr>
      <xdr:spPr>
        <a:xfrm>
          <a:off x="139700" y="1619687"/>
          <a:ext cx="1464660" cy="681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48794E-FF5F-4B30-B53E-904E0956D870}" type="TxLink">
            <a:rPr lang="en-US" sz="1800" b="1" i="0" u="none" strike="noStrike">
              <a:solidFill>
                <a:schemeClr val="bg1"/>
              </a:solidFill>
              <a:latin typeface="Aptos Narrow"/>
              <a:ea typeface="+mn-ea"/>
              <a:cs typeface="+mn-cs"/>
            </a:rPr>
            <a:pPr marL="0" indent="0"/>
            <a:t>11,997</a:t>
          </a:fld>
          <a:endParaRPr lang="en-IN" sz="1800" b="1" i="0" u="none" strike="noStrike">
            <a:solidFill>
              <a:schemeClr val="bg1"/>
            </a:solidFill>
            <a:latin typeface="Aptos Narrow"/>
            <a:ea typeface="+mn-ea"/>
            <a:cs typeface="+mn-cs"/>
          </a:endParaRPr>
        </a:p>
      </xdr:txBody>
    </xdr:sp>
    <xdr:clientData/>
  </xdr:twoCellAnchor>
  <xdr:twoCellAnchor>
    <xdr:from>
      <xdr:col>0</xdr:col>
      <xdr:colOff>139700</xdr:colOff>
      <xdr:row>13</xdr:row>
      <xdr:rowOff>159552</xdr:rowOff>
    </xdr:from>
    <xdr:to>
      <xdr:col>1</xdr:col>
      <xdr:colOff>1352550</xdr:colOff>
      <xdr:row>17</xdr:row>
      <xdr:rowOff>140502</xdr:rowOff>
    </xdr:to>
    <xdr:sp macro="" textlink="Pivots!I4">
      <xdr:nvSpPr>
        <xdr:cNvPr id="8" name="TextBox 7">
          <a:extLst>
            <a:ext uri="{FF2B5EF4-FFF2-40B4-BE49-F238E27FC236}">
              <a16:creationId xmlns:a16="http://schemas.microsoft.com/office/drawing/2014/main" id="{6D8CD055-8027-4E95-A656-F583A0343FDC}"/>
            </a:ext>
          </a:extLst>
        </xdr:cNvPr>
        <xdr:cNvSpPr txBox="1"/>
      </xdr:nvSpPr>
      <xdr:spPr>
        <a:xfrm>
          <a:off x="139700" y="2436793"/>
          <a:ext cx="1464660" cy="681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A36213-C8E6-459C-81A9-67FF7D545AF5}" type="TxLink">
            <a:rPr lang="en-US" sz="1800" b="1" i="0" u="none" strike="noStrike">
              <a:solidFill>
                <a:schemeClr val="bg1"/>
              </a:solidFill>
              <a:latin typeface="Aptos Narrow"/>
              <a:ea typeface="+mn-ea"/>
              <a:cs typeface="+mn-cs"/>
            </a:rPr>
            <a:pPr marL="0" indent="0"/>
            <a:t>$649.0k</a:t>
          </a:fld>
          <a:endParaRPr lang="en-IN" sz="1800" b="1" i="0" u="none" strike="noStrike">
            <a:solidFill>
              <a:schemeClr val="bg1"/>
            </a:solidFill>
            <a:latin typeface="Aptos Narrow"/>
            <a:ea typeface="+mn-ea"/>
            <a:cs typeface="+mn-cs"/>
          </a:endParaRPr>
        </a:p>
      </xdr:txBody>
    </xdr:sp>
    <xdr:clientData/>
  </xdr:twoCellAnchor>
  <xdr:twoCellAnchor>
    <xdr:from>
      <xdr:col>0</xdr:col>
      <xdr:colOff>139700</xdr:colOff>
      <xdr:row>18</xdr:row>
      <xdr:rowOff>98169</xdr:rowOff>
    </xdr:from>
    <xdr:to>
      <xdr:col>1</xdr:col>
      <xdr:colOff>1352550</xdr:colOff>
      <xdr:row>22</xdr:row>
      <xdr:rowOff>79118</xdr:rowOff>
    </xdr:to>
    <xdr:sp macro="" textlink="Pivots!J4">
      <xdr:nvSpPr>
        <xdr:cNvPr id="9" name="TextBox 8">
          <a:extLst>
            <a:ext uri="{FF2B5EF4-FFF2-40B4-BE49-F238E27FC236}">
              <a16:creationId xmlns:a16="http://schemas.microsoft.com/office/drawing/2014/main" id="{0D7F00B8-4A31-48AD-91FA-08D215014DFE}"/>
            </a:ext>
          </a:extLst>
        </xdr:cNvPr>
        <xdr:cNvSpPr txBox="1"/>
      </xdr:nvSpPr>
      <xdr:spPr>
        <a:xfrm>
          <a:off x="139700" y="3251272"/>
          <a:ext cx="1464660" cy="68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188906-F128-46D9-9436-48CA15AFE2FA}" type="TxLink">
            <a:rPr lang="en-US" sz="1800" b="1" i="0" u="none" strike="noStrike">
              <a:solidFill>
                <a:schemeClr val="bg1"/>
              </a:solidFill>
              <a:latin typeface="Aptos Narrow"/>
              <a:ea typeface="+mn-ea"/>
              <a:cs typeface="+mn-cs"/>
            </a:rPr>
            <a:pPr marL="0" indent="0"/>
            <a:t>4.0</a:t>
          </a:fld>
          <a:endParaRPr lang="en-IN" sz="1800" b="1" i="0" u="none" strike="noStrike">
            <a:solidFill>
              <a:schemeClr val="bg1"/>
            </a:solidFill>
            <a:latin typeface="Aptos Narrow"/>
            <a:ea typeface="+mn-ea"/>
            <a:cs typeface="+mn-cs"/>
          </a:endParaRPr>
        </a:p>
      </xdr:txBody>
    </xdr:sp>
    <xdr:clientData/>
  </xdr:twoCellAnchor>
  <xdr:twoCellAnchor>
    <xdr:from>
      <xdr:col>0</xdr:col>
      <xdr:colOff>139700</xdr:colOff>
      <xdr:row>23</xdr:row>
      <xdr:rowOff>21897</xdr:rowOff>
    </xdr:from>
    <xdr:to>
      <xdr:col>1</xdr:col>
      <xdr:colOff>1352550</xdr:colOff>
      <xdr:row>24</xdr:row>
      <xdr:rowOff>164224</xdr:rowOff>
    </xdr:to>
    <xdr:sp macro="" textlink="Pivots!K4">
      <xdr:nvSpPr>
        <xdr:cNvPr id="10" name="TextBox 9">
          <a:extLst>
            <a:ext uri="{FF2B5EF4-FFF2-40B4-BE49-F238E27FC236}">
              <a16:creationId xmlns:a16="http://schemas.microsoft.com/office/drawing/2014/main" id="{F2395E74-580E-4D85-9C18-DDEA40474987}"/>
            </a:ext>
          </a:extLst>
        </xdr:cNvPr>
        <xdr:cNvSpPr txBox="1"/>
      </xdr:nvSpPr>
      <xdr:spPr>
        <a:xfrm>
          <a:off x="139700" y="4050863"/>
          <a:ext cx="1464660"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120C54-396D-4387-878B-074EA2CB018A}" type="TxLink">
            <a:rPr lang="en-US" sz="1800" b="1" i="0" u="none" strike="noStrike">
              <a:solidFill>
                <a:schemeClr val="bg1"/>
              </a:solidFill>
              <a:latin typeface="Aptos Narrow"/>
              <a:ea typeface="+mn-ea"/>
              <a:cs typeface="+mn-cs"/>
            </a:rPr>
            <a:pPr marL="0" indent="0"/>
            <a:t>2.3</a:t>
          </a:fld>
          <a:endParaRPr lang="en-IN" sz="1800" b="1" i="0" u="none" strike="noStrike">
            <a:solidFill>
              <a:schemeClr val="bg1"/>
            </a:solidFill>
            <a:latin typeface="Aptos Narrow"/>
            <a:ea typeface="+mn-ea"/>
            <a:cs typeface="+mn-cs"/>
          </a:endParaRPr>
        </a:p>
      </xdr:txBody>
    </xdr:sp>
    <xdr:clientData/>
  </xdr:twoCellAnchor>
  <xdr:twoCellAnchor>
    <xdr:from>
      <xdr:col>0</xdr:col>
      <xdr:colOff>139700</xdr:colOff>
      <xdr:row>8</xdr:row>
      <xdr:rowOff>2116</xdr:rowOff>
    </xdr:from>
    <xdr:to>
      <xdr:col>1</xdr:col>
      <xdr:colOff>1174750</xdr:colOff>
      <xdr:row>9</xdr:row>
      <xdr:rowOff>126488</xdr:rowOff>
    </xdr:to>
    <xdr:sp macro="" textlink="">
      <xdr:nvSpPr>
        <xdr:cNvPr id="11" name="TextBox 10">
          <a:extLst>
            <a:ext uri="{FF2B5EF4-FFF2-40B4-BE49-F238E27FC236}">
              <a16:creationId xmlns:a16="http://schemas.microsoft.com/office/drawing/2014/main" id="{7CA79E01-E545-4349-A9DA-489A7A744C2F}"/>
            </a:ext>
          </a:extLst>
        </xdr:cNvPr>
        <xdr:cNvSpPr txBox="1"/>
      </xdr:nvSpPr>
      <xdr:spPr>
        <a:xfrm>
          <a:off x="139700" y="1403495"/>
          <a:ext cx="1286860" cy="29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t>  </a:t>
          </a:r>
          <a:r>
            <a:rPr lang="en-IN">
              <a:solidFill>
                <a:schemeClr val="bg1"/>
              </a:solidFill>
            </a:rPr>
            <a:t>Quantity</a:t>
          </a:r>
          <a:endParaRPr lang="en-IN" sz="1100">
            <a:solidFill>
              <a:schemeClr val="bg1"/>
            </a:solidFill>
          </a:endParaRPr>
        </a:p>
      </xdr:txBody>
    </xdr:sp>
    <xdr:clientData/>
  </xdr:twoCellAnchor>
  <xdr:twoCellAnchor>
    <xdr:from>
      <xdr:col>0</xdr:col>
      <xdr:colOff>139700</xdr:colOff>
      <xdr:row>3</xdr:row>
      <xdr:rowOff>63500</xdr:rowOff>
    </xdr:from>
    <xdr:to>
      <xdr:col>1</xdr:col>
      <xdr:colOff>1174750</xdr:colOff>
      <xdr:row>5</xdr:row>
      <xdr:rowOff>12700</xdr:rowOff>
    </xdr:to>
    <xdr:sp macro="" textlink="">
      <xdr:nvSpPr>
        <xdr:cNvPr id="12" name="TextBox 11">
          <a:extLst>
            <a:ext uri="{FF2B5EF4-FFF2-40B4-BE49-F238E27FC236}">
              <a16:creationId xmlns:a16="http://schemas.microsoft.com/office/drawing/2014/main" id="{9DC93DE1-4656-475C-8BB9-5462E41FDDC0}"/>
            </a:ext>
          </a:extLst>
        </xdr:cNvPr>
        <xdr:cNvSpPr txBox="1"/>
      </xdr:nvSpPr>
      <xdr:spPr>
        <a:xfrm>
          <a:off x="139700" y="589017"/>
          <a:ext cx="1286860" cy="29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t> </a:t>
          </a:r>
          <a:r>
            <a:rPr lang="en-IN">
              <a:solidFill>
                <a:schemeClr val="bg1"/>
              </a:solidFill>
            </a:rPr>
            <a:t>Orders</a:t>
          </a:r>
          <a:endParaRPr lang="en-IN" sz="1100">
            <a:solidFill>
              <a:schemeClr val="bg1"/>
            </a:solidFill>
          </a:endParaRPr>
        </a:p>
      </xdr:txBody>
    </xdr:sp>
    <xdr:clientData/>
  </xdr:twoCellAnchor>
  <xdr:twoCellAnchor>
    <xdr:from>
      <xdr:col>0</xdr:col>
      <xdr:colOff>139700</xdr:colOff>
      <xdr:row>12</xdr:row>
      <xdr:rowOff>115905</xdr:rowOff>
    </xdr:from>
    <xdr:to>
      <xdr:col>1</xdr:col>
      <xdr:colOff>1174750</xdr:colOff>
      <xdr:row>14</xdr:row>
      <xdr:rowOff>67732</xdr:rowOff>
    </xdr:to>
    <xdr:sp macro="" textlink="">
      <xdr:nvSpPr>
        <xdr:cNvPr id="13" name="TextBox 12">
          <a:extLst>
            <a:ext uri="{FF2B5EF4-FFF2-40B4-BE49-F238E27FC236}">
              <a16:creationId xmlns:a16="http://schemas.microsoft.com/office/drawing/2014/main" id="{1AA12456-1A21-44BD-9EDA-BEAEB7902245}"/>
            </a:ext>
          </a:extLst>
        </xdr:cNvPr>
        <xdr:cNvSpPr txBox="1"/>
      </xdr:nvSpPr>
      <xdr:spPr>
        <a:xfrm>
          <a:off x="139700" y="2217974"/>
          <a:ext cx="1286860" cy="302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t>  </a:t>
          </a:r>
          <a:r>
            <a:rPr lang="en-IN">
              <a:solidFill>
                <a:schemeClr val="bg1"/>
              </a:solidFill>
            </a:rPr>
            <a:t>Amount</a:t>
          </a:r>
          <a:endParaRPr lang="en-IN" sz="1100">
            <a:solidFill>
              <a:schemeClr val="bg1"/>
            </a:solidFill>
          </a:endParaRPr>
        </a:p>
      </xdr:txBody>
    </xdr:sp>
    <xdr:clientData/>
  </xdr:twoCellAnchor>
  <xdr:twoCellAnchor>
    <xdr:from>
      <xdr:col>0</xdr:col>
      <xdr:colOff>139700</xdr:colOff>
      <xdr:row>17</xdr:row>
      <xdr:rowOff>57149</xdr:rowOff>
    </xdr:from>
    <xdr:to>
      <xdr:col>1</xdr:col>
      <xdr:colOff>1174750</xdr:colOff>
      <xdr:row>19</xdr:row>
      <xdr:rowOff>6349</xdr:rowOff>
    </xdr:to>
    <xdr:sp macro="" textlink="">
      <xdr:nvSpPr>
        <xdr:cNvPr id="14" name="TextBox 13">
          <a:extLst>
            <a:ext uri="{FF2B5EF4-FFF2-40B4-BE49-F238E27FC236}">
              <a16:creationId xmlns:a16="http://schemas.microsoft.com/office/drawing/2014/main" id="{70DAFD09-09B2-4CDC-B1A5-8A1668ED3EE4}"/>
            </a:ext>
          </a:extLst>
        </xdr:cNvPr>
        <xdr:cNvSpPr txBox="1"/>
      </xdr:nvSpPr>
      <xdr:spPr>
        <a:xfrm>
          <a:off x="139700" y="3035080"/>
          <a:ext cx="1286860" cy="29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t> </a:t>
          </a:r>
          <a:r>
            <a:rPr lang="en-IN">
              <a:solidFill>
                <a:schemeClr val="bg1"/>
              </a:solidFill>
            </a:rPr>
            <a:t> Avg.</a:t>
          </a:r>
          <a:r>
            <a:rPr lang="en-IN" baseline="0">
              <a:solidFill>
                <a:schemeClr val="bg1"/>
              </a:solidFill>
            </a:rPr>
            <a:t> Rating</a:t>
          </a:r>
          <a:endParaRPr lang="en-IN" sz="1100">
            <a:solidFill>
              <a:schemeClr val="bg1"/>
            </a:solidFill>
          </a:endParaRPr>
        </a:p>
      </xdr:txBody>
    </xdr:sp>
    <xdr:clientData/>
  </xdr:twoCellAnchor>
  <xdr:twoCellAnchor>
    <xdr:from>
      <xdr:col>0</xdr:col>
      <xdr:colOff>139700</xdr:colOff>
      <xdr:row>21</xdr:row>
      <xdr:rowOff>170937</xdr:rowOff>
    </xdr:from>
    <xdr:to>
      <xdr:col>1</xdr:col>
      <xdr:colOff>1390650</xdr:colOff>
      <xdr:row>23</xdr:row>
      <xdr:rowOff>105248</xdr:rowOff>
    </xdr:to>
    <xdr:sp macro="" textlink="">
      <xdr:nvSpPr>
        <xdr:cNvPr id="15" name="TextBox 14">
          <a:extLst>
            <a:ext uri="{FF2B5EF4-FFF2-40B4-BE49-F238E27FC236}">
              <a16:creationId xmlns:a16="http://schemas.microsoft.com/office/drawing/2014/main" id="{B77E2264-7586-482B-9AF9-B584EEC384A0}"/>
            </a:ext>
          </a:extLst>
        </xdr:cNvPr>
        <xdr:cNvSpPr txBox="1"/>
      </xdr:nvSpPr>
      <xdr:spPr>
        <a:xfrm>
          <a:off x="139700" y="3849558"/>
          <a:ext cx="1502760" cy="28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a:t>  </a:t>
          </a:r>
          <a:r>
            <a:rPr lang="en-IN">
              <a:solidFill>
                <a:schemeClr val="bg1"/>
              </a:solidFill>
            </a:rPr>
            <a:t>Days</a:t>
          </a:r>
          <a:r>
            <a:rPr lang="en-IN" baseline="0">
              <a:solidFill>
                <a:schemeClr val="bg1"/>
              </a:solidFill>
            </a:rPr>
            <a:t> to Deliver</a:t>
          </a:r>
          <a:endParaRPr lang="en-IN" sz="1100">
            <a:solidFill>
              <a:schemeClr val="bg1"/>
            </a:solidFill>
          </a:endParaRPr>
        </a:p>
      </xdr:txBody>
    </xdr:sp>
    <xdr:clientData/>
  </xdr:twoCellAnchor>
  <xdr:twoCellAnchor>
    <xdr:from>
      <xdr:col>4</xdr:col>
      <xdr:colOff>109483</xdr:colOff>
      <xdr:row>1</xdr:row>
      <xdr:rowOff>109483</xdr:rowOff>
    </xdr:from>
    <xdr:to>
      <xdr:col>10</xdr:col>
      <xdr:colOff>295604</xdr:colOff>
      <xdr:row>16</xdr:row>
      <xdr:rowOff>168470</xdr:rowOff>
    </xdr:to>
    <xdr:graphicFrame macro="">
      <xdr:nvGraphicFramePr>
        <xdr:cNvPr id="16" name="Chart 15">
          <a:extLst>
            <a:ext uri="{FF2B5EF4-FFF2-40B4-BE49-F238E27FC236}">
              <a16:creationId xmlns:a16="http://schemas.microsoft.com/office/drawing/2014/main" id="{94A8071F-B3CC-4867-AF59-6B93A6D6E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54742</xdr:colOff>
      <xdr:row>1</xdr:row>
      <xdr:rowOff>120431</xdr:rowOff>
    </xdr:from>
    <xdr:to>
      <xdr:col>17</xdr:col>
      <xdr:colOff>306553</xdr:colOff>
      <xdr:row>16</xdr:row>
      <xdr:rowOff>168470</xdr:rowOff>
    </xdr:to>
    <xdr:sp macro="" textlink="">
      <xdr:nvSpPr>
        <xdr:cNvPr id="25" name="TextBox 24">
          <a:extLst>
            <a:ext uri="{FF2B5EF4-FFF2-40B4-BE49-F238E27FC236}">
              <a16:creationId xmlns:a16="http://schemas.microsoft.com/office/drawing/2014/main" id="{FBD4BD7D-A0D7-4A4D-922C-C3DDD50999AE}"/>
            </a:ext>
          </a:extLst>
        </xdr:cNvPr>
        <xdr:cNvSpPr txBox="1"/>
      </xdr:nvSpPr>
      <xdr:spPr>
        <a:xfrm>
          <a:off x="7156375" y="301860"/>
          <a:ext cx="4217321" cy="2769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How they like to buy?</a:t>
          </a:r>
        </a:p>
      </xdr:txBody>
    </xdr:sp>
    <xdr:clientData/>
  </xdr:twoCellAnchor>
  <mc:AlternateContent xmlns:mc="http://schemas.openxmlformats.org/markup-compatibility/2006">
    <mc:Choice xmlns:a14="http://schemas.microsoft.com/office/drawing/2010/main" Requires="a14">
      <xdr:twoCellAnchor editAs="oneCell">
        <xdr:from>
          <xdr:col>11</xdr:col>
          <xdr:colOff>550683</xdr:colOff>
          <xdr:row>4</xdr:row>
          <xdr:rowOff>87587</xdr:rowOff>
        </xdr:from>
        <xdr:to>
          <xdr:col>16</xdr:col>
          <xdr:colOff>383190</xdr:colOff>
          <xdr:row>12</xdr:row>
          <xdr:rowOff>131379</xdr:rowOff>
        </xdr:to>
        <xdr:pic>
          <xdr:nvPicPr>
            <xdr:cNvPr id="24" name="Picture 23">
              <a:extLst>
                <a:ext uri="{FF2B5EF4-FFF2-40B4-BE49-F238E27FC236}">
                  <a16:creationId xmlns:a16="http://schemas.microsoft.com/office/drawing/2014/main" id="{601C0AF1-70AC-46A1-8345-4FD8CC3696B3}"/>
                </a:ext>
              </a:extLst>
            </xdr:cNvPr>
            <xdr:cNvPicPr>
              <a:picLocks noChangeAspect="1" noChangeArrowheads="1"/>
              <a:extLst>
                <a:ext uri="{84589F7E-364E-4C9E-8A38-B11213B215E9}">
                  <a14:cameraTool cellRange="'Matrix_pivot table'!$H$4:$L$9" spid="_x0000_s1048"/>
                </a:ext>
              </a:extLst>
            </xdr:cNvPicPr>
          </xdr:nvPicPr>
          <xdr:blipFill>
            <a:blip xmlns:r="http://schemas.openxmlformats.org/officeDocument/2006/relationships" r:embed="rId3"/>
            <a:srcRect/>
            <a:stretch>
              <a:fillRect/>
            </a:stretch>
          </xdr:blipFill>
          <xdr:spPr bwMode="auto">
            <a:xfrm>
              <a:off x="7601373" y="788277"/>
              <a:ext cx="3116989" cy="14451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186122</xdr:colOff>
      <xdr:row>1</xdr:row>
      <xdr:rowOff>131380</xdr:rowOff>
    </xdr:from>
    <xdr:to>
      <xdr:col>24</xdr:col>
      <xdr:colOff>481725</xdr:colOff>
      <xdr:row>16</xdr:row>
      <xdr:rowOff>155510</xdr:rowOff>
    </xdr:to>
    <xdr:graphicFrame macro="">
      <xdr:nvGraphicFramePr>
        <xdr:cNvPr id="29" name="Chart 28">
          <a:extLst>
            <a:ext uri="{FF2B5EF4-FFF2-40B4-BE49-F238E27FC236}">
              <a16:creationId xmlns:a16="http://schemas.microsoft.com/office/drawing/2014/main" id="{6CFC411D-84C4-4B79-BEDA-4D42015D3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76639</xdr:colOff>
      <xdr:row>19</xdr:row>
      <xdr:rowOff>109483</xdr:rowOff>
    </xdr:from>
    <xdr:to>
      <xdr:col>10</xdr:col>
      <xdr:colOff>262759</xdr:colOff>
      <xdr:row>41</xdr:row>
      <xdr:rowOff>65690</xdr:rowOff>
    </xdr:to>
    <xdr:graphicFrame macro="">
      <xdr:nvGraphicFramePr>
        <xdr:cNvPr id="30" name="Chart 29">
          <a:extLst>
            <a:ext uri="{FF2B5EF4-FFF2-40B4-BE49-F238E27FC236}">
              <a16:creationId xmlns:a16="http://schemas.microsoft.com/office/drawing/2014/main" id="{0FFB5F77-EC12-4EF8-9D7E-2933FC746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10948</xdr:colOff>
      <xdr:row>30</xdr:row>
      <xdr:rowOff>38877</xdr:rowOff>
    </xdr:from>
    <xdr:to>
      <xdr:col>8</xdr:col>
      <xdr:colOff>505408</xdr:colOff>
      <xdr:row>38</xdr:row>
      <xdr:rowOff>164223</xdr:rowOff>
    </xdr:to>
    <xdr:graphicFrame macro="">
      <xdr:nvGraphicFramePr>
        <xdr:cNvPr id="31" name="Chart 30">
          <a:extLst>
            <a:ext uri="{FF2B5EF4-FFF2-40B4-BE49-F238E27FC236}">
              <a16:creationId xmlns:a16="http://schemas.microsoft.com/office/drawing/2014/main" id="{C63E2F11-4197-4FDC-85CD-EA922F647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43794</xdr:colOff>
      <xdr:row>19</xdr:row>
      <xdr:rowOff>131379</xdr:rowOff>
    </xdr:from>
    <xdr:to>
      <xdr:col>17</xdr:col>
      <xdr:colOff>317501</xdr:colOff>
      <xdr:row>41</xdr:row>
      <xdr:rowOff>76638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0DCF3595-80FF-4BBB-AB1D-60FD3EECF3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24044" y="3509579"/>
              <a:ext cx="4236107" cy="38568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383189</xdr:colOff>
      <xdr:row>25</xdr:row>
      <xdr:rowOff>98535</xdr:rowOff>
    </xdr:from>
    <xdr:to>
      <xdr:col>17</xdr:col>
      <xdr:colOff>109481</xdr:colOff>
      <xdr:row>32</xdr:row>
      <xdr:rowOff>98535</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F46E6B2F-0837-422F-BA4A-CEBED15139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05039" y="4543535"/>
              <a:ext cx="1047092" cy="1244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164224</xdr:colOff>
      <xdr:row>20</xdr:row>
      <xdr:rowOff>0</xdr:rowOff>
    </xdr:from>
    <xdr:to>
      <xdr:col>24</xdr:col>
      <xdr:colOff>284655</xdr:colOff>
      <xdr:row>29</xdr:row>
      <xdr:rowOff>131379</xdr:rowOff>
    </xdr:to>
    <xdr:graphicFrame macro="">
      <xdr:nvGraphicFramePr>
        <xdr:cNvPr id="36" name="Chart 35">
          <a:extLst>
            <a:ext uri="{FF2B5EF4-FFF2-40B4-BE49-F238E27FC236}">
              <a16:creationId xmlns:a16="http://schemas.microsoft.com/office/drawing/2014/main" id="{0B746370-DEAC-47EE-BFE4-C76160DDC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164224</xdr:colOff>
      <xdr:row>30</xdr:row>
      <xdr:rowOff>131381</xdr:rowOff>
    </xdr:from>
    <xdr:to>
      <xdr:col>24</xdr:col>
      <xdr:colOff>295603</xdr:colOff>
      <xdr:row>41</xdr:row>
      <xdr:rowOff>65690</xdr:rowOff>
    </xdr:to>
    <xdr:graphicFrame macro="">
      <xdr:nvGraphicFramePr>
        <xdr:cNvPr id="37" name="Chart 36">
          <a:extLst>
            <a:ext uri="{FF2B5EF4-FFF2-40B4-BE49-F238E27FC236}">
              <a16:creationId xmlns:a16="http://schemas.microsoft.com/office/drawing/2014/main" id="{62EDB7BF-EFF4-4AE6-862D-221B20C2B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142327</xdr:colOff>
      <xdr:row>25</xdr:row>
      <xdr:rowOff>133791</xdr:rowOff>
    </xdr:from>
    <xdr:to>
      <xdr:col>2</xdr:col>
      <xdr:colOff>22334</xdr:colOff>
      <xdr:row>35</xdr:row>
      <xdr:rowOff>103673</xdr:rowOff>
    </xdr:to>
    <mc:AlternateContent xmlns:mc="http://schemas.openxmlformats.org/markup-compatibility/2006" xmlns:a14="http://schemas.microsoft.com/office/drawing/2010/main">
      <mc:Choice Requires="a14">
        <xdr:graphicFrame macro="">
          <xdr:nvGraphicFramePr>
            <xdr:cNvPr id="26" name="Order Mode">
              <a:extLst>
                <a:ext uri="{FF2B5EF4-FFF2-40B4-BE49-F238E27FC236}">
                  <a16:creationId xmlns:a16="http://schemas.microsoft.com/office/drawing/2014/main" id="{88591EA5-E154-459D-95BD-C22E6D3B4C9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42327" y="4513101"/>
              <a:ext cx="1828800" cy="1475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143641</xdr:colOff>
      <xdr:row>34</xdr:row>
      <xdr:rowOff>120432</xdr:rowOff>
    </xdr:from>
    <xdr:to>
      <xdr:col>2</xdr:col>
      <xdr:colOff>23648</xdr:colOff>
      <xdr:row>42</xdr:row>
      <xdr:rowOff>76638</xdr:rowOff>
    </xdr:to>
    <mc:AlternateContent xmlns:mc="http://schemas.openxmlformats.org/markup-compatibility/2006" xmlns:a14="http://schemas.microsoft.com/office/drawing/2010/main">
      <mc:Choice Requires="a14">
        <xdr:graphicFrame macro="">
          <xdr:nvGraphicFramePr>
            <xdr:cNvPr id="27" name="Gender Value">
              <a:extLst>
                <a:ext uri="{FF2B5EF4-FFF2-40B4-BE49-F238E27FC236}">
                  <a16:creationId xmlns:a16="http://schemas.microsoft.com/office/drawing/2014/main" id="{9863B02F-886E-49D5-950E-239379C080A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43641" y="6076294"/>
              <a:ext cx="1828800" cy="1357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IT" refreshedDate="46094.693833564816" createdVersion="7" refreshedVersion="7" minRefreshableVersion="3" recordCount="2400" xr:uid="{7DD5762B-940E-4D99-9D68-FCA3EC820492}">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147606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317F8-A7BA-4624-91FC-8D109FF9025D}" name="pvt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1:C25"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7">
    <format dxfId="25">
      <pivotArea dataOnly="0" labelOnly="1" outline="0" fieldPosition="0">
        <references count="1">
          <reference field="4294967294" count="1">
            <x v="0"/>
          </reference>
        </references>
      </pivotArea>
    </format>
    <format dxfId="24">
      <pivotArea dataOnly="0" labelOnly="1" outline="0" fieldPosition="0">
        <references count="1">
          <reference field="4294967294" count="1">
            <x v="1"/>
          </reference>
        </references>
      </pivotArea>
    </format>
    <format dxfId="23">
      <pivotArea dataOnly="0" labelOnly="1" outline="0" fieldPosition="0">
        <references count="1">
          <reference field="4294967294" count="1">
            <x v="1"/>
          </reference>
        </references>
      </pivotArea>
    </format>
    <format dxfId="22">
      <pivotArea field="13" type="button" dataOnly="0" labelOnly="1" outline="0" axis="axisRow" fieldPosition="0"/>
    </format>
    <format dxfId="21">
      <pivotArea collapsedLevelsAreSubtotals="1" fieldPosition="0">
        <references count="2">
          <reference field="4294967294" count="1" selected="0">
            <x v="1"/>
          </reference>
          <reference field="13" count="1">
            <x v="0"/>
          </reference>
        </references>
      </pivotArea>
    </format>
    <format dxfId="20">
      <pivotArea collapsedLevelsAreSubtotals="1" fieldPosition="0">
        <references count="2">
          <reference field="4294967294" count="1" selected="0">
            <x v="1"/>
          </reference>
          <reference field="13" count="12">
            <x v="1"/>
            <x v="2"/>
            <x v="3"/>
            <x v="4"/>
            <x v="5"/>
            <x v="6"/>
            <x v="7"/>
            <x v="8"/>
            <x v="9"/>
            <x v="10"/>
            <x v="11"/>
            <x v="12"/>
          </reference>
        </references>
      </pivotArea>
    </format>
    <format dxfId="19">
      <pivotArea field="13" grandRow="1" outline="0" collapsedLevelsAreSubtotals="1" axis="axisRow" fieldPosition="0">
        <references count="1">
          <reference field="4294967294" count="1" selected="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A30F1-CBF8-4B2B-982E-04334CDD46C1}" name="pvt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I59:J64" firstHeaderRow="1"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1CEBC-A328-4A99-8AC8-0C8CE984B879}" name="pvtDur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49:B165"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1E6D1-4964-461A-82E5-1CDC0EAF2849}" name="pvtQ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53:F7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12">
    <chartFormat chart="15" format="8" series="1">
      <pivotArea type="data" outline="0" fieldPosition="0">
        <references count="2">
          <reference field="4294967294" count="1" selected="0">
            <x v="0"/>
          </reference>
          <reference field="7" count="1" selected="0">
            <x v="0"/>
          </reference>
        </references>
      </pivotArea>
    </chartFormat>
    <chartFormat chart="15" format="9" series="1">
      <pivotArea type="data" outline="0" fieldPosition="0">
        <references count="2">
          <reference field="4294967294" count="1" selected="0">
            <x v="0"/>
          </reference>
          <reference field="7" count="1" selected="0">
            <x v="1"/>
          </reference>
        </references>
      </pivotArea>
    </chartFormat>
    <chartFormat chart="15" format="10" series="1">
      <pivotArea type="data" outline="0" fieldPosition="0">
        <references count="2">
          <reference field="4294967294" count="1" selected="0">
            <x v="0"/>
          </reference>
          <reference field="7" count="1" selected="0">
            <x v="2"/>
          </reference>
        </references>
      </pivotArea>
    </chartFormat>
    <chartFormat chart="15" format="11" series="1">
      <pivotArea type="data" outline="0" fieldPosition="0">
        <references count="2">
          <reference field="4294967294" count="1" selected="0">
            <x v="0"/>
          </reference>
          <reference field="7" count="1" selected="0">
            <x v="3"/>
          </reference>
        </references>
      </pivotArea>
    </chartFormat>
    <chartFormat chart="9" format="3" series="1">
      <pivotArea type="data" outline="0" fieldPosition="0">
        <references count="2">
          <reference field="4294967294" count="1" selected="0">
            <x v="0"/>
          </reference>
          <reference field="7" count="1" selected="0">
            <x v="1"/>
          </reference>
        </references>
      </pivotArea>
    </chartFormat>
    <chartFormat chart="9" format="4" series="1">
      <pivotArea type="data" outline="0" fieldPosition="0">
        <references count="2">
          <reference field="4294967294" count="1" selected="0">
            <x v="0"/>
          </reference>
          <reference field="7" count="1" selected="0">
            <x v="2"/>
          </reference>
        </references>
      </pivotArea>
    </chartFormat>
    <chartFormat chart="9" format="5" series="1">
      <pivotArea type="data" outline="0" fieldPosition="0">
        <references count="2">
          <reference field="4294967294" count="1" selected="0">
            <x v="0"/>
          </reference>
          <reference field="7" count="1" selected="0">
            <x v="3"/>
          </reference>
        </references>
      </pivotArea>
    </chartFormat>
    <chartFormat chart="9" format="6"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8AF784-8860-4E02-BB4B-1A1FFF45EF10}" name="pvtSumm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2">
    <format dxfId="27">
      <pivotArea dataOnly="0" labelOnly="1" outline="0" fieldPosition="0">
        <references count="1">
          <reference field="4294967294" count="2">
            <x v="3"/>
            <x v="4"/>
          </reference>
        </references>
      </pivotArea>
    </format>
    <format dxfId="2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21BC9B-8699-4743-A43C-BC7E1D82D451}" name="pvtMap"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B84:E142"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DC826F-863F-4852-8D10-E58ED0645859}" name="pvt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6:B44"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BFD342-F39F-493A-A915-ADEE4C921832}" name="pvt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73:G178"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 chart="3" format="4" series="1">
      <pivotArea type="data" outline="0" fieldPosition="0">
        <references count="2">
          <reference field="4294967294" count="1" selected="0">
            <x v="0"/>
          </reference>
          <reference field="9" count="1" selected="0">
            <x v="4"/>
          </reference>
        </references>
      </pivotArea>
    </chartFormat>
    <chartFormat chart="6" format="10" series="1">
      <pivotArea type="data" outline="0" fieldPosition="0">
        <references count="2">
          <reference field="4294967294" count="1" selected="0">
            <x v="0"/>
          </reference>
          <reference field="9" count="1" selected="0">
            <x v="0"/>
          </reference>
        </references>
      </pivotArea>
    </chartFormat>
    <chartFormat chart="6" format="11" series="1">
      <pivotArea type="data" outline="0" fieldPosition="0">
        <references count="2">
          <reference field="4294967294" count="1" selected="0">
            <x v="0"/>
          </reference>
          <reference field="9" count="1" selected="0">
            <x v="1"/>
          </reference>
        </references>
      </pivotArea>
    </chartFormat>
    <chartFormat chart="6" format="12" series="1">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2">
          <reference field="4294967294" count="1" selected="0">
            <x v="0"/>
          </reference>
          <reference field="9" count="1" selected="0">
            <x v="3"/>
          </reference>
        </references>
      </pivotArea>
    </chartFormat>
    <chartFormat chart="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9E930-1117-4FCF-9ECC-B01265129061}" name="pvtMatrix"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35EB4AD-ED17-451E-A6B9-BB53A95A1A3D}" sourceName="Order Mode">
  <pivotTables>
    <pivotTable tabId="5" name="pvtRating"/>
    <pivotTable tabId="5" name="pvtGender"/>
    <pivotTable tabId="5" name="pvtDuration"/>
    <pivotTable tabId="5" name="pvtQty"/>
    <pivotTable tabId="5" name="pvtMap"/>
    <pivotTable tabId="5" name="pvtProduct"/>
    <pivotTable tabId="5" name="pvtTrend"/>
  </pivotTables>
  <data>
    <tabular pivotCacheId="114760660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2A3CBB9-5BCB-4A43-A677-C141983B2E62}" sourceName="Gender Value">
  <pivotTables>
    <pivotTable tabId="5" name="pvtRating"/>
    <pivotTable tabId="5" name="pvtDuration"/>
    <pivotTable tabId="5" name="pvtMap"/>
    <pivotTable tabId="5" name="pvtTrend"/>
    <pivotTable tabId="5" name="pvtQty"/>
  </pivotTables>
  <data>
    <tabular pivotCacheId="114760660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7738D17-D705-4A00-AAFB-1123F528DEA9}" cache="Slicer_Order_Mode" caption="Order Mode" rowHeight="230716"/>
  <slicer name="Gender Value" xr10:uid="{E877D9DC-3767-4245-B4AA-275B3CC319C4}"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8"/>
    <tableColumn id="7" xr3:uid="{43BB5DBF-46E1-4185-80C0-4361F55A385C}" name="Ship Date" dataDxfId="1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6">
      <calculatedColumnFormula>orders[[#This Row],[Ship Date]]-orders[[#This Row],[Order Date]]</calculatedColumnFormula>
    </tableColumn>
    <tableColumn id="12" xr3:uid="{B071C0DA-87A9-4516-B4D9-4F5B7D3FF44A}" name="Weeknum" dataDxfId="15">
      <calculatedColumnFormula>WEEKNUM(orders[[#This Row],[Order Date]])</calculatedColumnFormula>
    </tableColumn>
    <tableColumn id="13" xr3:uid="{B8EA9E28-7541-4E76-9935-C26438661A18}" name="Gender Value" dataDxfId="1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B4C0-1C2F-4A96-8B58-001B6C4D30F5}">
  <dimension ref="A2:Z178"/>
  <sheetViews>
    <sheetView topLeftCell="C81" workbookViewId="0">
      <selection activeCell="N90" sqref="N90"/>
    </sheetView>
  </sheetViews>
  <sheetFormatPr defaultRowHeight="14"/>
  <cols>
    <col min="1" max="1" width="19.25" bestFit="1" customWidth="1"/>
    <col min="2" max="2" width="15.58203125" bestFit="1" customWidth="1"/>
    <col min="3" max="4" width="4.75" bestFit="1" customWidth="1"/>
    <col min="5" max="5" width="3.75" bestFit="1" customWidth="1"/>
    <col min="6" max="7" width="10.83203125" bestFit="1" customWidth="1"/>
    <col min="8" max="8" width="6.4140625" bestFit="1" customWidth="1"/>
    <col min="9" max="9" width="12.9140625" bestFit="1" customWidth="1"/>
    <col min="10" max="10" width="14.5" bestFit="1" customWidth="1"/>
    <col min="11" max="13" width="6.4140625" bestFit="1" customWidth="1"/>
    <col min="14" max="14" width="20.33203125" bestFit="1" customWidth="1"/>
    <col min="15" max="15" width="8.75" bestFit="1" customWidth="1"/>
    <col min="16" max="16" width="9.75" customWidth="1"/>
    <col min="17" max="17" width="7" customWidth="1"/>
    <col min="18" max="18" width="6.4140625" bestFit="1" customWidth="1"/>
    <col min="19" max="19" width="12.1640625" customWidth="1"/>
    <col min="20" max="25" width="6.4140625" bestFit="1" customWidth="1"/>
    <col min="26" max="26" width="8.08203125" customWidth="1"/>
    <col min="27" max="32" width="6.4140625" bestFit="1" customWidth="1"/>
    <col min="33" max="33" width="8.6640625" bestFit="1" customWidth="1"/>
    <col min="34" max="61" width="6.5" bestFit="1" customWidth="1"/>
    <col min="62" max="62" width="8.75" bestFit="1" customWidth="1"/>
    <col min="63" max="91" width="6.4140625" bestFit="1" customWidth="1"/>
    <col min="93" max="93" width="10.83203125" bestFit="1" customWidth="1"/>
  </cols>
  <sheetData>
    <row r="2" spans="1:26">
      <c r="G2" t="s">
        <v>2524</v>
      </c>
      <c r="O2" s="19"/>
      <c r="P2" s="19"/>
      <c r="Q2" s="19"/>
      <c r="R2" s="19"/>
      <c r="S2" s="19"/>
    </row>
    <row r="3" spans="1:26" ht="14.5" thickBot="1">
      <c r="A3" s="9" t="s">
        <v>2519</v>
      </c>
      <c r="B3" s="9" t="s">
        <v>2520</v>
      </c>
      <c r="C3" s="9" t="s">
        <v>2521</v>
      </c>
      <c r="D3" s="9" t="s">
        <v>2522</v>
      </c>
      <c r="E3" s="9" t="s">
        <v>2523</v>
      </c>
      <c r="F3" s="10"/>
      <c r="G3" s="10" t="s">
        <v>2518</v>
      </c>
      <c r="H3" s="10" t="s">
        <v>2525</v>
      </c>
      <c r="I3" s="10" t="s">
        <v>4</v>
      </c>
      <c r="J3" s="10" t="s">
        <v>2507</v>
      </c>
      <c r="K3" s="10" t="s">
        <v>2526</v>
      </c>
      <c r="O3" s="20"/>
      <c r="P3" s="20"/>
      <c r="Q3" s="20"/>
      <c r="R3" s="20"/>
      <c r="S3" s="20"/>
    </row>
    <row r="4" spans="1:26" ht="15" thickTop="1" thickBot="1">
      <c r="A4" s="7">
        <v>2400</v>
      </c>
      <c r="B4" s="7">
        <v>11997</v>
      </c>
      <c r="C4" s="7">
        <v>649019.80000000144</v>
      </c>
      <c r="D4" s="7">
        <v>3.9620833333333332</v>
      </c>
      <c r="E4" s="7">
        <v>2.3424999999999998</v>
      </c>
      <c r="G4" t="str">
        <f>TEXT(A4,"#,##")</f>
        <v>2,400</v>
      </c>
      <c r="H4" t="str">
        <f>TEXT(B4,"#,##")</f>
        <v>11,997</v>
      </c>
      <c r="I4" t="str">
        <f>TEXT(C4,"$#,##,.0k")</f>
        <v>$649.0k</v>
      </c>
      <c r="J4" t="str">
        <f>TEXT(D4,"0.0")</f>
        <v>4.0</v>
      </c>
      <c r="K4" t="str">
        <f>TEXT(E4,"0.0")</f>
        <v>2.3</v>
      </c>
      <c r="O4" s="14"/>
      <c r="P4" s="14"/>
      <c r="Q4" s="14"/>
      <c r="R4" s="14"/>
      <c r="S4" s="14"/>
      <c r="V4" s="15"/>
      <c r="W4" s="15"/>
      <c r="X4" s="15"/>
      <c r="Y4" s="15"/>
      <c r="Z4" s="15"/>
    </row>
    <row r="5" spans="1:26" ht="15" thickTop="1" thickBot="1">
      <c r="O5" s="14"/>
      <c r="P5" s="14"/>
      <c r="Q5" s="14"/>
      <c r="R5" s="14"/>
      <c r="S5" s="14"/>
      <c r="V5" s="15"/>
      <c r="W5" s="16"/>
      <c r="X5" s="16"/>
      <c r="Y5" s="16"/>
      <c r="Z5" s="16"/>
    </row>
    <row r="6" spans="1:26" ht="15" thickTop="1" thickBot="1">
      <c r="O6" s="14"/>
      <c r="P6" s="14"/>
      <c r="Q6" s="14"/>
      <c r="R6" s="14"/>
      <c r="S6" s="14"/>
      <c r="V6" s="15"/>
      <c r="W6" s="16"/>
      <c r="X6" s="16"/>
      <c r="Y6" s="16"/>
      <c r="Z6" s="16"/>
    </row>
    <row r="7" spans="1:26" ht="15" thickTop="1" thickBot="1">
      <c r="O7" s="14"/>
      <c r="P7" s="14"/>
      <c r="Q7" s="14"/>
      <c r="R7" s="14"/>
      <c r="S7" s="14"/>
      <c r="V7" s="15"/>
      <c r="W7" s="16"/>
      <c r="X7" s="16"/>
      <c r="Y7" s="16"/>
      <c r="Z7" s="16"/>
    </row>
    <row r="8" spans="1:26" ht="15" thickTop="1" thickBot="1">
      <c r="O8" s="14"/>
      <c r="P8" s="14"/>
      <c r="Q8" s="14"/>
      <c r="R8" s="14"/>
      <c r="S8" s="14"/>
      <c r="V8" s="15"/>
      <c r="W8" s="16"/>
      <c r="X8" s="16"/>
      <c r="Y8" s="16"/>
      <c r="Z8" s="16"/>
    </row>
    <row r="9" spans="1:26" ht="15" thickTop="1" thickBot="1">
      <c r="A9" s="8" t="s">
        <v>2527</v>
      </c>
      <c r="D9" s="8"/>
      <c r="O9" s="21"/>
      <c r="P9" s="21"/>
      <c r="Q9" s="21"/>
      <c r="R9" s="21"/>
      <c r="S9" s="21"/>
      <c r="V9" s="15"/>
      <c r="W9" s="16"/>
      <c r="X9" s="16"/>
      <c r="Y9" s="16"/>
      <c r="Z9" s="16"/>
    </row>
    <row r="10" spans="1:26" ht="14.5" thickTop="1"/>
    <row r="11" spans="1:26">
      <c r="A11" s="9" t="s">
        <v>2528</v>
      </c>
      <c r="B11" s="9" t="s">
        <v>2520</v>
      </c>
      <c r="C11" s="9" t="s">
        <v>2521</v>
      </c>
      <c r="F11" s="10"/>
      <c r="G11" s="10"/>
      <c r="H11" s="10"/>
      <c r="I11" s="10"/>
      <c r="J11" s="10"/>
      <c r="K11" s="10"/>
    </row>
    <row r="12" spans="1:26">
      <c r="A12" s="12">
        <v>1</v>
      </c>
      <c r="B12" s="7">
        <v>546</v>
      </c>
      <c r="C12" s="13">
        <v>32413.300000000003</v>
      </c>
    </row>
    <row r="13" spans="1:26">
      <c r="A13" s="12">
        <v>2</v>
      </c>
      <c r="B13" s="7">
        <v>905</v>
      </c>
      <c r="C13" s="13">
        <v>49562.999999999993</v>
      </c>
    </row>
    <row r="14" spans="1:26">
      <c r="A14" s="12">
        <v>3</v>
      </c>
      <c r="B14" s="7">
        <v>796</v>
      </c>
      <c r="C14" s="13">
        <v>41700.400000000016</v>
      </c>
    </row>
    <row r="15" spans="1:26">
      <c r="A15" s="12">
        <v>4</v>
      </c>
      <c r="B15" s="7">
        <v>913</v>
      </c>
      <c r="C15" s="13">
        <v>46782.599999999984</v>
      </c>
    </row>
    <row r="16" spans="1:26">
      <c r="A16" s="12">
        <v>5</v>
      </c>
      <c r="B16" s="7">
        <v>844</v>
      </c>
      <c r="C16" s="13">
        <v>42676.100000000006</v>
      </c>
    </row>
    <row r="17" spans="1:3">
      <c r="A17" s="12">
        <v>6</v>
      </c>
      <c r="B17" s="7">
        <v>1202</v>
      </c>
      <c r="C17" s="13">
        <v>62910.7</v>
      </c>
    </row>
    <row r="18" spans="1:3">
      <c r="A18" s="12">
        <v>7</v>
      </c>
      <c r="B18" s="7">
        <v>935</v>
      </c>
      <c r="C18" s="13">
        <v>50332.200000000004</v>
      </c>
    </row>
    <row r="19" spans="1:3">
      <c r="A19" s="12">
        <v>8</v>
      </c>
      <c r="B19" s="7">
        <v>1128</v>
      </c>
      <c r="C19" s="13">
        <v>58760.599999999977</v>
      </c>
    </row>
    <row r="20" spans="1:3">
      <c r="A20" s="12">
        <v>9</v>
      </c>
      <c r="B20" s="7">
        <v>1007</v>
      </c>
      <c r="C20" s="13">
        <v>52017.299999999996</v>
      </c>
    </row>
    <row r="21" spans="1:3">
      <c r="A21" s="12">
        <v>10</v>
      </c>
      <c r="B21" s="7">
        <v>1128</v>
      </c>
      <c r="C21" s="13">
        <v>64915.700000000033</v>
      </c>
    </row>
    <row r="22" spans="1:3">
      <c r="A22" s="12">
        <v>11</v>
      </c>
      <c r="B22" s="7">
        <v>861</v>
      </c>
      <c r="C22" s="13">
        <v>45943.80000000001</v>
      </c>
    </row>
    <row r="23" spans="1:3">
      <c r="A23" s="12">
        <v>12</v>
      </c>
      <c r="B23" s="7">
        <v>944</v>
      </c>
      <c r="C23" s="13">
        <v>55077.900000000031</v>
      </c>
    </row>
    <row r="24" spans="1:3">
      <c r="A24" s="12">
        <v>13</v>
      </c>
      <c r="B24" s="7">
        <v>788</v>
      </c>
      <c r="C24" s="13">
        <v>45926.19999999999</v>
      </c>
    </row>
    <row r="25" spans="1:3">
      <c r="A25" s="12" t="s">
        <v>2529</v>
      </c>
      <c r="B25" s="7">
        <v>11997</v>
      </c>
      <c r="C25" s="13">
        <v>649019.79999999993</v>
      </c>
    </row>
    <row r="34" spans="1:2">
      <c r="A34" t="s">
        <v>2536</v>
      </c>
    </row>
    <row r="36" spans="1:2">
      <c r="A36" s="11" t="s">
        <v>2528</v>
      </c>
      <c r="B36" t="s">
        <v>2519</v>
      </c>
    </row>
    <row r="37" spans="1:2">
      <c r="A37" s="12">
        <v>1</v>
      </c>
      <c r="B37" s="7">
        <v>397</v>
      </c>
    </row>
    <row r="38" spans="1:2">
      <c r="A38" s="12">
        <v>2</v>
      </c>
      <c r="B38" s="7">
        <v>540</v>
      </c>
    </row>
    <row r="39" spans="1:2">
      <c r="A39" s="12">
        <v>3</v>
      </c>
      <c r="B39" s="7">
        <v>375</v>
      </c>
    </row>
    <row r="40" spans="1:2">
      <c r="A40" s="12">
        <v>4</v>
      </c>
      <c r="B40" s="7">
        <v>246</v>
      </c>
    </row>
    <row r="41" spans="1:2">
      <c r="A41" s="12">
        <v>5</v>
      </c>
      <c r="B41" s="7">
        <v>195</v>
      </c>
    </row>
    <row r="42" spans="1:2">
      <c r="A42" s="12" t="s">
        <v>2537</v>
      </c>
      <c r="B42" s="7">
        <v>414</v>
      </c>
    </row>
    <row r="43" spans="1:2">
      <c r="A43" s="12" t="s">
        <v>2538</v>
      </c>
      <c r="B43" s="7">
        <v>233</v>
      </c>
    </row>
    <row r="44" spans="1:2">
      <c r="A44" s="12" t="s">
        <v>2529</v>
      </c>
      <c r="B44" s="7">
        <v>2400</v>
      </c>
    </row>
    <row r="51" spans="1:10">
      <c r="A51" t="s">
        <v>2539</v>
      </c>
    </row>
    <row r="53" spans="1:10">
      <c r="A53" s="11" t="s">
        <v>2520</v>
      </c>
      <c r="B53" s="11" t="s">
        <v>2534</v>
      </c>
    </row>
    <row r="54" spans="1:10">
      <c r="A54" s="11" t="s">
        <v>2528</v>
      </c>
      <c r="C54" t="s">
        <v>27</v>
      </c>
      <c r="D54" t="s">
        <v>23</v>
      </c>
      <c r="E54" t="s">
        <v>89</v>
      </c>
      <c r="F54" t="s">
        <v>2529</v>
      </c>
    </row>
    <row r="55" spans="1:10">
      <c r="A55" s="12" t="s">
        <v>44</v>
      </c>
      <c r="B55" s="7">
        <v>98</v>
      </c>
      <c r="C55" s="7">
        <v>744</v>
      </c>
      <c r="D55" s="7">
        <v>713</v>
      </c>
      <c r="E55" s="7">
        <v>90</v>
      </c>
      <c r="F55" s="7">
        <v>1645</v>
      </c>
    </row>
    <row r="56" spans="1:10">
      <c r="A56" s="12" t="s">
        <v>39</v>
      </c>
      <c r="B56" s="7">
        <v>214</v>
      </c>
      <c r="C56" s="7">
        <v>716</v>
      </c>
      <c r="D56" s="7">
        <v>598</v>
      </c>
      <c r="E56" s="7">
        <v>18</v>
      </c>
      <c r="F56" s="7">
        <v>1546</v>
      </c>
    </row>
    <row r="57" spans="1:10">
      <c r="A57" s="12" t="s">
        <v>26</v>
      </c>
      <c r="B57" s="7">
        <v>137</v>
      </c>
      <c r="C57" s="7">
        <v>627</v>
      </c>
      <c r="D57" s="7">
        <v>393</v>
      </c>
      <c r="E57" s="7">
        <v>29</v>
      </c>
      <c r="F57" s="7">
        <v>1186</v>
      </c>
    </row>
    <row r="58" spans="1:10">
      <c r="A58" s="12" t="s">
        <v>22</v>
      </c>
      <c r="B58" s="7">
        <v>16</v>
      </c>
      <c r="C58" s="7">
        <v>568</v>
      </c>
      <c r="D58" s="7">
        <v>306</v>
      </c>
      <c r="E58" s="7">
        <v>22</v>
      </c>
      <c r="F58" s="7">
        <v>912</v>
      </c>
    </row>
    <row r="59" spans="1:10">
      <c r="A59" s="12" t="s">
        <v>54</v>
      </c>
      <c r="B59" s="7">
        <v>22</v>
      </c>
      <c r="C59" s="7">
        <v>482</v>
      </c>
      <c r="D59" s="7">
        <v>295</v>
      </c>
      <c r="E59" s="7">
        <v>8</v>
      </c>
      <c r="F59" s="7">
        <v>807</v>
      </c>
      <c r="I59" s="11" t="s">
        <v>2528</v>
      </c>
      <c r="J59" t="s">
        <v>2520</v>
      </c>
    </row>
    <row r="60" spans="1:10">
      <c r="A60" s="12" t="s">
        <v>16</v>
      </c>
      <c r="B60" s="7">
        <v>24</v>
      </c>
      <c r="C60" s="7">
        <v>428</v>
      </c>
      <c r="D60" s="7">
        <v>293</v>
      </c>
      <c r="E60" s="7"/>
      <c r="F60" s="7">
        <v>745</v>
      </c>
      <c r="I60" s="12" t="s">
        <v>2532</v>
      </c>
      <c r="J60" s="7">
        <v>6272</v>
      </c>
    </row>
    <row r="61" spans="1:10">
      <c r="A61" s="12" t="s">
        <v>46</v>
      </c>
      <c r="B61" s="7">
        <v>39</v>
      </c>
      <c r="C61" s="7">
        <v>445</v>
      </c>
      <c r="D61" s="7">
        <v>202</v>
      </c>
      <c r="E61" s="7">
        <v>14</v>
      </c>
      <c r="F61" s="7">
        <v>700</v>
      </c>
      <c r="I61" s="12" t="s">
        <v>2531</v>
      </c>
      <c r="J61" s="7">
        <v>4672</v>
      </c>
    </row>
    <row r="62" spans="1:10">
      <c r="A62" s="12" t="s">
        <v>32</v>
      </c>
      <c r="B62" s="7">
        <v>15</v>
      </c>
      <c r="C62" s="7">
        <v>431</v>
      </c>
      <c r="D62" s="7">
        <v>187</v>
      </c>
      <c r="E62" s="7">
        <v>14</v>
      </c>
      <c r="F62" s="7">
        <v>647</v>
      </c>
      <c r="I62" s="12" t="s">
        <v>2533</v>
      </c>
      <c r="J62" s="7">
        <v>317</v>
      </c>
    </row>
    <row r="63" spans="1:10">
      <c r="A63" s="12" t="s">
        <v>42</v>
      </c>
      <c r="B63" s="7">
        <v>9</v>
      </c>
      <c r="C63" s="7">
        <v>264</v>
      </c>
      <c r="D63" s="7">
        <v>318</v>
      </c>
      <c r="E63" s="7">
        <v>15</v>
      </c>
      <c r="F63" s="7">
        <v>606</v>
      </c>
      <c r="I63" s="12" t="s">
        <v>2530</v>
      </c>
      <c r="J63" s="7">
        <v>736</v>
      </c>
    </row>
    <row r="64" spans="1:10">
      <c r="A64" s="12" t="s">
        <v>37</v>
      </c>
      <c r="B64" s="7">
        <v>23</v>
      </c>
      <c r="C64" s="7">
        <v>296</v>
      </c>
      <c r="D64" s="7">
        <v>275</v>
      </c>
      <c r="E64" s="7">
        <v>9</v>
      </c>
      <c r="F64" s="7">
        <v>603</v>
      </c>
      <c r="I64" s="12" t="s">
        <v>2529</v>
      </c>
      <c r="J64" s="7">
        <v>11997</v>
      </c>
    </row>
    <row r="65" spans="1:6">
      <c r="A65" s="12" t="s">
        <v>123</v>
      </c>
      <c r="B65" s="7">
        <v>8</v>
      </c>
      <c r="C65" s="7">
        <v>153</v>
      </c>
      <c r="D65" s="7">
        <v>246</v>
      </c>
      <c r="E65" s="7">
        <v>30</v>
      </c>
      <c r="F65" s="7">
        <v>437</v>
      </c>
    </row>
    <row r="66" spans="1:6">
      <c r="A66" s="12" t="s">
        <v>146</v>
      </c>
      <c r="B66" s="7">
        <v>31</v>
      </c>
      <c r="C66" s="7">
        <v>189</v>
      </c>
      <c r="D66" s="7">
        <v>168</v>
      </c>
      <c r="E66" s="7">
        <v>10</v>
      </c>
      <c r="F66" s="7">
        <v>398</v>
      </c>
    </row>
    <row r="67" spans="1:6">
      <c r="A67" s="12" t="s">
        <v>69</v>
      </c>
      <c r="B67" s="7">
        <v>24</v>
      </c>
      <c r="C67" s="7">
        <v>234</v>
      </c>
      <c r="D67" s="7">
        <v>93</v>
      </c>
      <c r="E67" s="7">
        <v>19</v>
      </c>
      <c r="F67" s="7">
        <v>370</v>
      </c>
    </row>
    <row r="68" spans="1:6">
      <c r="A68" s="12" t="s">
        <v>30</v>
      </c>
      <c r="B68" s="7">
        <v>28</v>
      </c>
      <c r="C68" s="7">
        <v>146</v>
      </c>
      <c r="D68" s="7">
        <v>94</v>
      </c>
      <c r="E68" s="7">
        <v>4</v>
      </c>
      <c r="F68" s="7">
        <v>272</v>
      </c>
    </row>
    <row r="69" spans="1:6">
      <c r="A69" s="12" t="s">
        <v>135</v>
      </c>
      <c r="B69" s="7">
        <v>12</v>
      </c>
      <c r="C69" s="7">
        <v>127</v>
      </c>
      <c r="D69" s="7">
        <v>118</v>
      </c>
      <c r="E69" s="7">
        <v>13</v>
      </c>
      <c r="F69" s="7">
        <v>270</v>
      </c>
    </row>
    <row r="70" spans="1:6">
      <c r="A70" s="12" t="s">
        <v>67</v>
      </c>
      <c r="B70" s="7"/>
      <c r="C70" s="7">
        <v>179</v>
      </c>
      <c r="D70" s="7">
        <v>76</v>
      </c>
      <c r="E70" s="7">
        <v>3</v>
      </c>
      <c r="F70" s="7">
        <v>258</v>
      </c>
    </row>
    <row r="71" spans="1:6">
      <c r="A71" s="12" t="s">
        <v>128</v>
      </c>
      <c r="B71" s="7">
        <v>24</v>
      </c>
      <c r="C71" s="7">
        <v>99</v>
      </c>
      <c r="D71" s="7">
        <v>69</v>
      </c>
      <c r="E71" s="7">
        <v>3</v>
      </c>
      <c r="F71" s="7">
        <v>195</v>
      </c>
    </row>
    <row r="72" spans="1:6">
      <c r="A72" s="12" t="s">
        <v>76</v>
      </c>
      <c r="B72" s="7">
        <v>6</v>
      </c>
      <c r="C72" s="7">
        <v>75</v>
      </c>
      <c r="D72" s="7">
        <v>103</v>
      </c>
      <c r="E72" s="7">
        <v>4</v>
      </c>
      <c r="F72" s="7">
        <v>188</v>
      </c>
    </row>
    <row r="73" spans="1:6">
      <c r="A73" s="12" t="s">
        <v>81</v>
      </c>
      <c r="B73" s="7">
        <v>6</v>
      </c>
      <c r="C73" s="7">
        <v>43</v>
      </c>
      <c r="D73" s="7">
        <v>90</v>
      </c>
      <c r="E73" s="7">
        <v>8</v>
      </c>
      <c r="F73" s="7">
        <v>147</v>
      </c>
    </row>
    <row r="74" spans="1:6">
      <c r="A74" s="12" t="s">
        <v>171</v>
      </c>
      <c r="B74" s="7"/>
      <c r="C74" s="7">
        <v>26</v>
      </c>
      <c r="D74" s="7">
        <v>35</v>
      </c>
      <c r="E74" s="7">
        <v>4</v>
      </c>
      <c r="F74" s="7">
        <v>65</v>
      </c>
    </row>
    <row r="75" spans="1:6">
      <c r="A75" s="12" t="s">
        <v>2529</v>
      </c>
      <c r="B75" s="7">
        <v>736</v>
      </c>
      <c r="C75" s="7">
        <v>6272</v>
      </c>
      <c r="D75" s="7">
        <v>4672</v>
      </c>
      <c r="E75" s="7">
        <v>317</v>
      </c>
      <c r="F75" s="7">
        <v>11997</v>
      </c>
    </row>
    <row r="81" spans="2:11">
      <c r="B81" t="s">
        <v>2540</v>
      </c>
    </row>
    <row r="84" spans="2:11">
      <c r="B84" s="11" t="s">
        <v>10</v>
      </c>
      <c r="C84" s="11" t="s">
        <v>11</v>
      </c>
      <c r="D84" t="s">
        <v>2520</v>
      </c>
      <c r="E84" t="s">
        <v>2521</v>
      </c>
    </row>
    <row r="85" spans="2:11">
      <c r="B85" t="s">
        <v>19</v>
      </c>
      <c r="C85" t="s">
        <v>115</v>
      </c>
      <c r="D85" s="7">
        <v>579</v>
      </c>
      <c r="E85" s="7">
        <v>31884.999999999996</v>
      </c>
      <c r="I85" s="17"/>
      <c r="K85" s="7"/>
    </row>
    <row r="86" spans="2:11">
      <c r="B86" t="s">
        <v>19</v>
      </c>
      <c r="C86" t="s">
        <v>20</v>
      </c>
      <c r="D86" s="7">
        <v>1</v>
      </c>
      <c r="E86" s="7">
        <v>10.9</v>
      </c>
      <c r="I86" s="17"/>
      <c r="K86" s="7"/>
    </row>
    <row r="87" spans="2:11">
      <c r="B87" t="s">
        <v>19</v>
      </c>
      <c r="C87" t="s">
        <v>641</v>
      </c>
      <c r="D87" s="7">
        <v>9</v>
      </c>
      <c r="E87" s="7">
        <v>800.3</v>
      </c>
      <c r="I87" s="17"/>
      <c r="K87" s="7"/>
    </row>
    <row r="88" spans="2:11">
      <c r="B88" t="s">
        <v>19</v>
      </c>
      <c r="C88" t="s">
        <v>967</v>
      </c>
      <c r="D88" s="7">
        <v>35</v>
      </c>
      <c r="E88" s="7">
        <v>1062.5999999999999</v>
      </c>
      <c r="I88" s="17"/>
      <c r="K88" s="7"/>
    </row>
    <row r="89" spans="2:11">
      <c r="B89" t="s">
        <v>19</v>
      </c>
      <c r="C89" t="s">
        <v>84</v>
      </c>
      <c r="D89" s="7">
        <v>12</v>
      </c>
      <c r="E89" s="7">
        <v>326.20000000000005</v>
      </c>
      <c r="I89" s="17"/>
      <c r="K89" s="7"/>
    </row>
    <row r="90" spans="2:11">
      <c r="B90" t="s">
        <v>19</v>
      </c>
      <c r="C90" t="s">
        <v>1383</v>
      </c>
      <c r="D90" s="7">
        <v>4</v>
      </c>
      <c r="E90" s="7">
        <v>167.5</v>
      </c>
      <c r="I90" s="17"/>
      <c r="K90" s="7"/>
    </row>
    <row r="91" spans="2:11">
      <c r="B91" t="s">
        <v>19</v>
      </c>
      <c r="C91" t="s">
        <v>24</v>
      </c>
      <c r="D91" s="7">
        <v>341</v>
      </c>
      <c r="E91" s="7">
        <v>16168.7</v>
      </c>
      <c r="I91" s="17"/>
      <c r="K91" s="7"/>
    </row>
    <row r="92" spans="2:11">
      <c r="B92" t="s">
        <v>19</v>
      </c>
      <c r="C92" t="s">
        <v>2204</v>
      </c>
      <c r="D92" s="7">
        <v>13</v>
      </c>
      <c r="E92" s="7">
        <v>322.40000000000003</v>
      </c>
      <c r="I92" s="17"/>
      <c r="K92" s="7"/>
    </row>
    <row r="93" spans="2:11">
      <c r="B93" t="s">
        <v>19</v>
      </c>
      <c r="C93" t="s">
        <v>437</v>
      </c>
      <c r="D93" s="7">
        <v>31</v>
      </c>
      <c r="E93" s="7">
        <v>2092.8000000000002</v>
      </c>
      <c r="I93" s="17"/>
      <c r="K93" s="7"/>
    </row>
    <row r="94" spans="2:11">
      <c r="B94" t="s">
        <v>19</v>
      </c>
      <c r="C94" t="s">
        <v>28</v>
      </c>
      <c r="D94" s="7">
        <v>279</v>
      </c>
      <c r="E94" s="7">
        <v>12662.500000000002</v>
      </c>
      <c r="I94" s="17"/>
      <c r="K94" s="7"/>
    </row>
    <row r="95" spans="2:11">
      <c r="B95" t="s">
        <v>19</v>
      </c>
      <c r="C95" t="s">
        <v>208</v>
      </c>
      <c r="D95" s="7">
        <v>9</v>
      </c>
      <c r="E95" s="7">
        <v>343.2</v>
      </c>
      <c r="I95" s="17"/>
      <c r="K95" s="7"/>
    </row>
    <row r="96" spans="2:11">
      <c r="B96" t="s">
        <v>19</v>
      </c>
      <c r="C96" t="s">
        <v>587</v>
      </c>
      <c r="D96" s="7">
        <v>49</v>
      </c>
      <c r="E96" s="7">
        <v>2188.2999999999997</v>
      </c>
      <c r="I96" s="17"/>
      <c r="K96" s="7"/>
    </row>
    <row r="97" spans="2:11">
      <c r="B97" t="s">
        <v>19</v>
      </c>
      <c r="C97" t="s">
        <v>331</v>
      </c>
      <c r="D97" s="7">
        <v>59</v>
      </c>
      <c r="E97" s="7">
        <v>2661.5999999999995</v>
      </c>
      <c r="I97" s="17"/>
      <c r="K97" s="7"/>
    </row>
    <row r="98" spans="2:11">
      <c r="B98" t="s">
        <v>19</v>
      </c>
      <c r="C98" t="s">
        <v>86</v>
      </c>
      <c r="D98" s="7">
        <v>8</v>
      </c>
      <c r="E98" s="7">
        <v>887.5</v>
      </c>
      <c r="I98" s="17"/>
      <c r="K98" s="7"/>
    </row>
    <row r="99" spans="2:11">
      <c r="B99" t="s">
        <v>19</v>
      </c>
      <c r="C99" t="s">
        <v>147</v>
      </c>
      <c r="D99" s="7">
        <v>222</v>
      </c>
      <c r="E99" s="7">
        <v>11354.199999999993</v>
      </c>
      <c r="I99" s="17"/>
      <c r="K99" s="7"/>
    </row>
    <row r="100" spans="2:11">
      <c r="B100" t="s">
        <v>19</v>
      </c>
      <c r="C100" t="s">
        <v>334</v>
      </c>
      <c r="D100" s="7">
        <v>36</v>
      </c>
      <c r="E100" s="7">
        <v>1558.4</v>
      </c>
      <c r="I100" s="17"/>
      <c r="K100" s="7"/>
    </row>
    <row r="101" spans="2:11">
      <c r="B101" t="s">
        <v>19</v>
      </c>
      <c r="C101" t="s">
        <v>949</v>
      </c>
      <c r="D101" s="7">
        <v>30</v>
      </c>
      <c r="E101" s="7">
        <v>2223.9</v>
      </c>
      <c r="I101" s="17"/>
      <c r="K101" s="7"/>
    </row>
    <row r="102" spans="2:11">
      <c r="B102" t="s">
        <v>19</v>
      </c>
      <c r="C102" t="s">
        <v>1426</v>
      </c>
      <c r="D102" s="7">
        <v>1</v>
      </c>
      <c r="E102" s="7">
        <v>26.2</v>
      </c>
      <c r="I102" s="17"/>
      <c r="K102" s="7"/>
    </row>
    <row r="103" spans="2:11">
      <c r="B103" t="s">
        <v>19</v>
      </c>
      <c r="C103" t="s">
        <v>33</v>
      </c>
      <c r="D103" s="7">
        <v>3991</v>
      </c>
      <c r="E103" s="7">
        <v>215551.19999999981</v>
      </c>
      <c r="I103" s="17"/>
      <c r="K103" s="7"/>
    </row>
    <row r="104" spans="2:11">
      <c r="B104" t="s">
        <v>19</v>
      </c>
      <c r="C104" t="s">
        <v>364</v>
      </c>
      <c r="D104" s="7">
        <v>45</v>
      </c>
      <c r="E104" s="7">
        <v>2687.3999999999996</v>
      </c>
      <c r="I104" s="17"/>
      <c r="K104" s="7"/>
    </row>
    <row r="105" spans="2:11">
      <c r="B105" t="s">
        <v>19</v>
      </c>
      <c r="C105" t="s">
        <v>545</v>
      </c>
      <c r="D105" s="7">
        <v>39</v>
      </c>
      <c r="E105" s="7">
        <v>1463.3000000000002</v>
      </c>
      <c r="I105" s="17"/>
      <c r="K105" s="7"/>
    </row>
    <row r="106" spans="2:11">
      <c r="B106" t="s">
        <v>19</v>
      </c>
      <c r="C106" t="s">
        <v>416</v>
      </c>
      <c r="D106" s="7">
        <v>6</v>
      </c>
      <c r="E106" s="7">
        <v>445.79999999999995</v>
      </c>
      <c r="I106" s="17"/>
      <c r="K106" s="7"/>
    </row>
    <row r="107" spans="2:11">
      <c r="B107" t="s">
        <v>19</v>
      </c>
      <c r="C107" t="s">
        <v>258</v>
      </c>
      <c r="D107" s="7">
        <v>9</v>
      </c>
      <c r="E107" s="7">
        <v>273.59999999999997</v>
      </c>
      <c r="I107" s="17"/>
      <c r="K107" s="7"/>
    </row>
    <row r="108" spans="2:11">
      <c r="B108" t="s">
        <v>19</v>
      </c>
      <c r="C108" t="s">
        <v>186</v>
      </c>
      <c r="D108" s="7">
        <v>60</v>
      </c>
      <c r="E108" s="7">
        <v>2690.4</v>
      </c>
      <c r="I108" s="17"/>
      <c r="K108" s="7"/>
    </row>
    <row r="109" spans="2:11">
      <c r="B109" t="s">
        <v>19</v>
      </c>
      <c r="C109" t="s">
        <v>392</v>
      </c>
      <c r="D109" s="7">
        <v>2</v>
      </c>
      <c r="E109" s="7">
        <v>28.4</v>
      </c>
      <c r="I109" s="17"/>
      <c r="K109" s="7"/>
    </row>
    <row r="110" spans="2:11">
      <c r="B110" t="s">
        <v>19</v>
      </c>
      <c r="C110" t="s">
        <v>670</v>
      </c>
      <c r="D110" s="7">
        <v>4</v>
      </c>
      <c r="E110" s="7">
        <v>204.8</v>
      </c>
      <c r="I110" s="17"/>
      <c r="K110" s="7"/>
    </row>
    <row r="111" spans="2:11">
      <c r="B111" t="s">
        <v>19</v>
      </c>
      <c r="C111" t="s">
        <v>802</v>
      </c>
      <c r="D111" s="7">
        <v>31</v>
      </c>
      <c r="E111" s="7">
        <v>1607.8999999999999</v>
      </c>
      <c r="I111" s="17"/>
      <c r="K111" s="7"/>
    </row>
    <row r="112" spans="2:11">
      <c r="B112" t="s">
        <v>19</v>
      </c>
      <c r="C112" t="s">
        <v>98</v>
      </c>
      <c r="D112" s="7">
        <v>88</v>
      </c>
      <c r="E112" s="7">
        <v>6444.9</v>
      </c>
      <c r="I112" s="17"/>
      <c r="K112" s="7"/>
    </row>
    <row r="113" spans="2:11">
      <c r="B113" t="s">
        <v>19</v>
      </c>
      <c r="C113" t="s">
        <v>49</v>
      </c>
      <c r="D113" s="7">
        <v>25</v>
      </c>
      <c r="E113" s="7">
        <v>1809.3</v>
      </c>
      <c r="I113" s="17"/>
      <c r="K113" s="7"/>
    </row>
    <row r="114" spans="2:11">
      <c r="B114" t="s">
        <v>19</v>
      </c>
      <c r="C114" t="s">
        <v>188</v>
      </c>
      <c r="D114" s="7">
        <v>178</v>
      </c>
      <c r="E114" s="7">
        <v>9680.399999999996</v>
      </c>
      <c r="I114" s="17"/>
      <c r="K114" s="7"/>
    </row>
    <row r="115" spans="2:11">
      <c r="B115" t="s">
        <v>19</v>
      </c>
      <c r="C115" t="s">
        <v>52</v>
      </c>
      <c r="D115" s="7">
        <v>141</v>
      </c>
      <c r="E115" s="7">
        <v>9414.7999999999993</v>
      </c>
      <c r="I115" s="17"/>
      <c r="K115" s="7"/>
    </row>
    <row r="116" spans="2:11">
      <c r="B116" t="s">
        <v>19</v>
      </c>
      <c r="C116" t="s">
        <v>338</v>
      </c>
      <c r="D116" s="7">
        <v>6</v>
      </c>
      <c r="E116" s="7">
        <v>206.1</v>
      </c>
      <c r="I116" s="17"/>
      <c r="K116" s="7"/>
    </row>
    <row r="117" spans="2:11">
      <c r="B117" t="s">
        <v>19</v>
      </c>
      <c r="C117" t="s">
        <v>158</v>
      </c>
      <c r="D117" s="7">
        <v>178</v>
      </c>
      <c r="E117" s="7">
        <v>7691.3</v>
      </c>
      <c r="I117" s="17"/>
      <c r="K117" s="7"/>
    </row>
    <row r="118" spans="2:11">
      <c r="B118" t="s">
        <v>19</v>
      </c>
      <c r="C118" t="s">
        <v>55</v>
      </c>
      <c r="D118" s="7">
        <v>699</v>
      </c>
      <c r="E118" s="7">
        <v>37784.900000000016</v>
      </c>
      <c r="I118" s="17"/>
      <c r="K118" s="7"/>
    </row>
    <row r="119" spans="2:11">
      <c r="B119" t="s">
        <v>19</v>
      </c>
      <c r="C119" t="s">
        <v>342</v>
      </c>
      <c r="D119" s="7">
        <v>23</v>
      </c>
      <c r="E119" s="7">
        <v>1129.7</v>
      </c>
      <c r="I119" s="17"/>
      <c r="K119" s="7"/>
    </row>
    <row r="120" spans="2:11">
      <c r="B120" t="s">
        <v>19</v>
      </c>
      <c r="C120" t="s">
        <v>59</v>
      </c>
      <c r="D120" s="7">
        <v>356</v>
      </c>
      <c r="E120" s="7">
        <v>20988.9</v>
      </c>
      <c r="I120" s="17"/>
      <c r="K120" s="7"/>
    </row>
    <row r="121" spans="2:11">
      <c r="B121" t="s">
        <v>19</v>
      </c>
      <c r="C121" t="s">
        <v>62</v>
      </c>
      <c r="D121" s="7">
        <v>1768</v>
      </c>
      <c r="E121" s="7">
        <v>98367.099999999977</v>
      </c>
      <c r="I121" s="17"/>
      <c r="K121" s="7"/>
    </row>
    <row r="122" spans="2:11">
      <c r="B122" t="s">
        <v>19</v>
      </c>
      <c r="C122" t="s">
        <v>103</v>
      </c>
      <c r="D122" s="7">
        <v>307</v>
      </c>
      <c r="E122" s="7">
        <v>21911.9</v>
      </c>
      <c r="I122" s="17"/>
      <c r="K122" s="7"/>
    </row>
    <row r="123" spans="2:11">
      <c r="B123" t="s">
        <v>19</v>
      </c>
      <c r="C123" t="s">
        <v>201</v>
      </c>
      <c r="D123" s="7">
        <v>117</v>
      </c>
      <c r="E123" s="7">
        <v>5441.2</v>
      </c>
      <c r="I123" s="17"/>
      <c r="K123" s="7"/>
    </row>
    <row r="124" spans="2:11">
      <c r="B124" t="s">
        <v>19</v>
      </c>
      <c r="C124" t="s">
        <v>429</v>
      </c>
      <c r="D124" s="7">
        <v>13</v>
      </c>
      <c r="E124" s="7">
        <v>392.8</v>
      </c>
      <c r="I124" s="17"/>
      <c r="K124" s="7"/>
    </row>
    <row r="125" spans="2:11">
      <c r="B125" t="s">
        <v>19</v>
      </c>
      <c r="C125" t="s">
        <v>72</v>
      </c>
      <c r="D125" s="7">
        <v>364</v>
      </c>
      <c r="E125" s="7">
        <v>16172.000000000005</v>
      </c>
      <c r="I125" s="17"/>
      <c r="K125" s="7"/>
    </row>
    <row r="126" spans="2:11">
      <c r="B126" t="s">
        <v>19</v>
      </c>
      <c r="C126" t="s">
        <v>74</v>
      </c>
      <c r="D126" s="7">
        <v>95</v>
      </c>
      <c r="E126" s="7">
        <v>4334.9999999999991</v>
      </c>
      <c r="I126" s="17"/>
      <c r="K126" s="7"/>
    </row>
    <row r="127" spans="2:11">
      <c r="B127" t="s">
        <v>19</v>
      </c>
      <c r="C127" t="s">
        <v>77</v>
      </c>
      <c r="D127" s="7">
        <v>737</v>
      </c>
      <c r="E127" s="7">
        <v>37449.000000000007</v>
      </c>
      <c r="I127" s="17"/>
      <c r="K127" s="7"/>
    </row>
    <row r="128" spans="2:11">
      <c r="B128" t="s">
        <v>19</v>
      </c>
      <c r="C128" t="s">
        <v>309</v>
      </c>
      <c r="D128" s="7">
        <v>39</v>
      </c>
      <c r="E128" s="7">
        <v>2447.5</v>
      </c>
      <c r="I128" s="17"/>
      <c r="K128" s="7"/>
    </row>
    <row r="129" spans="2:11">
      <c r="B129" t="s">
        <v>19</v>
      </c>
      <c r="C129" t="s">
        <v>1116</v>
      </c>
      <c r="D129" s="7">
        <v>56</v>
      </c>
      <c r="E129" s="7">
        <v>3391.1</v>
      </c>
      <c r="I129" s="17"/>
      <c r="K129" s="7"/>
    </row>
    <row r="130" spans="2:11">
      <c r="B130" t="s">
        <v>19</v>
      </c>
      <c r="C130" t="s">
        <v>700</v>
      </c>
      <c r="D130" s="7">
        <v>2</v>
      </c>
      <c r="E130" s="7">
        <v>30.8</v>
      </c>
      <c r="I130" s="17"/>
      <c r="K130" s="7"/>
    </row>
    <row r="131" spans="2:11">
      <c r="B131" t="s">
        <v>19</v>
      </c>
      <c r="C131" t="s">
        <v>268</v>
      </c>
      <c r="D131" s="7">
        <v>8</v>
      </c>
      <c r="E131" s="7">
        <v>332.3</v>
      </c>
      <c r="I131" s="17"/>
      <c r="K131" s="7"/>
    </row>
    <row r="132" spans="2:11">
      <c r="B132" t="s">
        <v>19</v>
      </c>
      <c r="C132" t="s">
        <v>377</v>
      </c>
      <c r="D132" s="7">
        <v>52</v>
      </c>
      <c r="E132" s="7">
        <v>3175.9999999999995</v>
      </c>
      <c r="I132" s="17"/>
      <c r="K132" s="7"/>
    </row>
    <row r="133" spans="2:11">
      <c r="B133" t="s">
        <v>19</v>
      </c>
      <c r="C133" t="s">
        <v>108</v>
      </c>
      <c r="D133" s="7">
        <v>295</v>
      </c>
      <c r="E133" s="7">
        <v>20939.600000000002</v>
      </c>
      <c r="I133" s="17"/>
      <c r="K133" s="7"/>
    </row>
    <row r="134" spans="2:11">
      <c r="B134" t="s">
        <v>19</v>
      </c>
      <c r="C134" t="s">
        <v>110</v>
      </c>
      <c r="D134" s="7">
        <v>195</v>
      </c>
      <c r="E134" s="7">
        <v>10185.899999999996</v>
      </c>
      <c r="I134" s="17"/>
      <c r="K134" s="7"/>
    </row>
    <row r="135" spans="2:11">
      <c r="B135" t="s">
        <v>19</v>
      </c>
      <c r="C135" t="s">
        <v>292</v>
      </c>
      <c r="D135" s="7">
        <v>20</v>
      </c>
      <c r="E135" s="7">
        <v>958.7</v>
      </c>
      <c r="I135" s="17"/>
      <c r="K135" s="7"/>
    </row>
    <row r="136" spans="2:11">
      <c r="B136" t="s">
        <v>19</v>
      </c>
      <c r="C136" t="s">
        <v>79</v>
      </c>
      <c r="D136" s="7">
        <v>6</v>
      </c>
      <c r="E136" s="7">
        <v>323</v>
      </c>
      <c r="I136" s="17"/>
      <c r="K136" s="7"/>
    </row>
    <row r="137" spans="2:11">
      <c r="B137" t="s">
        <v>19</v>
      </c>
      <c r="C137" t="s">
        <v>608</v>
      </c>
      <c r="D137" s="7">
        <v>5</v>
      </c>
      <c r="E137" s="7">
        <v>167.70000000000002</v>
      </c>
      <c r="I137" s="17"/>
      <c r="K137" s="7"/>
    </row>
    <row r="138" spans="2:11">
      <c r="B138" t="s">
        <v>19</v>
      </c>
      <c r="C138" t="s">
        <v>113</v>
      </c>
      <c r="D138" s="7">
        <v>94</v>
      </c>
      <c r="E138" s="7">
        <v>3978.5</v>
      </c>
      <c r="I138" s="17"/>
      <c r="K138" s="7"/>
    </row>
    <row r="139" spans="2:11">
      <c r="B139" t="s">
        <v>19</v>
      </c>
      <c r="C139" t="s">
        <v>997</v>
      </c>
      <c r="D139" s="7">
        <v>28</v>
      </c>
      <c r="E139" s="7">
        <v>1405</v>
      </c>
      <c r="I139" s="17"/>
      <c r="K139" s="7"/>
    </row>
    <row r="140" spans="2:11">
      <c r="B140" t="s">
        <v>19</v>
      </c>
      <c r="C140" t="s">
        <v>82</v>
      </c>
      <c r="D140" s="7">
        <v>179</v>
      </c>
      <c r="E140" s="7">
        <v>9869.0999999999985</v>
      </c>
      <c r="I140" s="17"/>
      <c r="K140" s="7"/>
    </row>
    <row r="141" spans="2:11">
      <c r="B141" t="s">
        <v>19</v>
      </c>
      <c r="C141" t="s">
        <v>243</v>
      </c>
      <c r="D141" s="7">
        <v>15</v>
      </c>
      <c r="E141" s="7">
        <v>615.29999999999995</v>
      </c>
      <c r="I141" s="17"/>
      <c r="K141" s="7"/>
    </row>
    <row r="142" spans="2:11">
      <c r="B142" t="s">
        <v>19</v>
      </c>
      <c r="C142" t="s">
        <v>1911</v>
      </c>
      <c r="D142" s="7">
        <v>3</v>
      </c>
      <c r="E142" s="7">
        <v>285</v>
      </c>
      <c r="I142" s="18"/>
      <c r="K142" s="7"/>
    </row>
    <row r="147" spans="1:2">
      <c r="A147" t="s">
        <v>2541</v>
      </c>
    </row>
    <row r="149" spans="1:2">
      <c r="A149" s="11" t="s">
        <v>2528</v>
      </c>
      <c r="B149" t="s">
        <v>2519</v>
      </c>
    </row>
    <row r="150" spans="1:2">
      <c r="A150" s="12">
        <v>0</v>
      </c>
      <c r="B150" s="7">
        <v>175</v>
      </c>
    </row>
    <row r="151" spans="1:2">
      <c r="A151" s="12">
        <v>1</v>
      </c>
      <c r="B151" s="7">
        <v>888</v>
      </c>
    </row>
    <row r="152" spans="1:2">
      <c r="A152" s="12">
        <v>2</v>
      </c>
      <c r="B152" s="7">
        <v>538</v>
      </c>
    </row>
    <row r="153" spans="1:2">
      <c r="A153" s="12">
        <v>3</v>
      </c>
      <c r="B153" s="7">
        <v>344</v>
      </c>
    </row>
    <row r="154" spans="1:2">
      <c r="A154" s="12">
        <v>4</v>
      </c>
      <c r="B154" s="7">
        <v>200</v>
      </c>
    </row>
    <row r="155" spans="1:2">
      <c r="A155" s="12">
        <v>5</v>
      </c>
      <c r="B155" s="7">
        <v>94</v>
      </c>
    </row>
    <row r="156" spans="1:2">
      <c r="A156" s="12">
        <v>6</v>
      </c>
      <c r="B156" s="7">
        <v>51</v>
      </c>
    </row>
    <row r="157" spans="1:2">
      <c r="A157" s="12">
        <v>7</v>
      </c>
      <c r="B157" s="7">
        <v>32</v>
      </c>
    </row>
    <row r="158" spans="1:2">
      <c r="A158" s="12">
        <v>8</v>
      </c>
      <c r="B158" s="7">
        <v>23</v>
      </c>
    </row>
    <row r="159" spans="1:2">
      <c r="A159" s="12">
        <v>9</v>
      </c>
      <c r="B159" s="7">
        <v>9</v>
      </c>
    </row>
    <row r="160" spans="1:2">
      <c r="A160" s="12">
        <v>10</v>
      </c>
      <c r="B160" s="7">
        <v>8</v>
      </c>
    </row>
    <row r="161" spans="1:7">
      <c r="A161" s="12">
        <v>11</v>
      </c>
      <c r="B161" s="7">
        <v>11</v>
      </c>
    </row>
    <row r="162" spans="1:7">
      <c r="A162" s="12">
        <v>12</v>
      </c>
      <c r="B162" s="7">
        <v>4</v>
      </c>
    </row>
    <row r="163" spans="1:7">
      <c r="A163" s="12">
        <v>13</v>
      </c>
      <c r="B163" s="7">
        <v>10</v>
      </c>
    </row>
    <row r="164" spans="1:7">
      <c r="A164" s="12">
        <v>14</v>
      </c>
      <c r="B164" s="7">
        <v>13</v>
      </c>
    </row>
    <row r="165" spans="1:7">
      <c r="A165" s="12" t="s">
        <v>2529</v>
      </c>
      <c r="B165" s="7">
        <v>2400</v>
      </c>
    </row>
    <row r="170" spans="1:7">
      <c r="A170" t="s">
        <v>2542</v>
      </c>
    </row>
    <row r="173" spans="1:7">
      <c r="A173" s="11" t="s">
        <v>2519</v>
      </c>
      <c r="B173" s="11" t="s">
        <v>2534</v>
      </c>
    </row>
    <row r="174" spans="1:7">
      <c r="A174" s="11" t="s">
        <v>2528</v>
      </c>
      <c r="B174">
        <v>1</v>
      </c>
      <c r="C174">
        <v>2</v>
      </c>
      <c r="D174">
        <v>3</v>
      </c>
      <c r="E174">
        <v>4</v>
      </c>
      <c r="F174">
        <v>5</v>
      </c>
      <c r="G174" t="s">
        <v>2529</v>
      </c>
    </row>
    <row r="175" spans="1:7">
      <c r="A175" s="12" t="s">
        <v>2543</v>
      </c>
      <c r="B175" s="7">
        <v>7</v>
      </c>
      <c r="C175" s="7">
        <v>37</v>
      </c>
      <c r="D175" s="7">
        <v>150</v>
      </c>
      <c r="E175" s="7">
        <v>312</v>
      </c>
      <c r="F175" s="7">
        <v>224</v>
      </c>
      <c r="G175" s="7">
        <v>730</v>
      </c>
    </row>
    <row r="176" spans="1:7">
      <c r="A176" s="12" t="s">
        <v>2544</v>
      </c>
      <c r="B176" s="7">
        <v>8</v>
      </c>
      <c r="C176" s="7">
        <v>51</v>
      </c>
      <c r="D176" s="7">
        <v>182</v>
      </c>
      <c r="E176" s="7">
        <v>373</v>
      </c>
      <c r="F176" s="7">
        <v>247</v>
      </c>
      <c r="G176" s="7">
        <v>861</v>
      </c>
    </row>
    <row r="177" spans="1:7">
      <c r="A177" s="12" t="s">
        <v>2545</v>
      </c>
      <c r="B177" s="7">
        <v>6</v>
      </c>
      <c r="C177" s="7">
        <v>39</v>
      </c>
      <c r="D177" s="7">
        <v>163</v>
      </c>
      <c r="E177" s="7">
        <v>351</v>
      </c>
      <c r="F177" s="7">
        <v>250</v>
      </c>
      <c r="G177" s="7">
        <v>809</v>
      </c>
    </row>
    <row r="178" spans="1:7">
      <c r="A178" s="12" t="s">
        <v>2529</v>
      </c>
      <c r="B178" s="7">
        <v>21</v>
      </c>
      <c r="C178" s="7">
        <v>127</v>
      </c>
      <c r="D178" s="7">
        <v>495</v>
      </c>
      <c r="E178" s="7">
        <v>1036</v>
      </c>
      <c r="F178" s="7">
        <v>721</v>
      </c>
      <c r="G178" s="7">
        <v>2400</v>
      </c>
    </row>
  </sheetData>
  <conditionalFormatting sqref="W5:Z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49" zoomScaleNormal="75" workbookViewId="0">
      <selection activeCell="AB39" sqref="AB39"/>
    </sheetView>
  </sheetViews>
  <sheetFormatPr defaultRowHeight="14"/>
  <cols>
    <col min="1" max="1" width="3.33203125" customWidth="1"/>
    <col min="2" max="2" width="22.25" customWidth="1"/>
    <col min="3" max="4" width="3.33203125" customWidth="1"/>
    <col min="26" max="26" width="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8D6F-8677-4ACF-AD85-859DC87050F4}">
  <dimension ref="A2:L34"/>
  <sheetViews>
    <sheetView showGridLines="0" workbookViewId="0">
      <selection activeCell="G15" sqref="G15"/>
    </sheetView>
  </sheetViews>
  <sheetFormatPr defaultRowHeight="14"/>
  <cols>
    <col min="1" max="1" width="14.08203125" bestFit="1" customWidth="1"/>
    <col min="2" max="2" width="15.58203125" bestFit="1" customWidth="1"/>
    <col min="3" max="3" width="6.9140625" bestFit="1" customWidth="1"/>
    <col min="4" max="4" width="5.9140625" bestFit="1" customWidth="1"/>
    <col min="5" max="5" width="9" bestFit="1" customWidth="1"/>
    <col min="6" max="6" width="10.83203125" bestFit="1" customWidth="1"/>
    <col min="8" max="8" width="10.25" customWidth="1"/>
    <col min="9" max="9" width="7.1640625" customWidth="1"/>
    <col min="10" max="11" width="7.25" customWidth="1"/>
    <col min="12" max="12" width="8" customWidth="1"/>
  </cols>
  <sheetData>
    <row r="2" spans="1:12">
      <c r="H2" t="s">
        <v>2535</v>
      </c>
    </row>
    <row r="3" spans="1:12" ht="14.5" thickBot="1">
      <c r="A3" s="11" t="s">
        <v>2521</v>
      </c>
      <c r="B3" s="11" t="s">
        <v>2534</v>
      </c>
    </row>
    <row r="4" spans="1:12" ht="18.5" customHeight="1" thickTop="1" thickBot="1">
      <c r="A4" s="11" t="s">
        <v>2528</v>
      </c>
      <c r="B4" t="s">
        <v>2532</v>
      </c>
      <c r="C4" t="s">
        <v>2531</v>
      </c>
      <c r="D4" t="s">
        <v>2533</v>
      </c>
      <c r="E4" t="s">
        <v>2530</v>
      </c>
      <c r="F4" t="s">
        <v>2529</v>
      </c>
      <c r="H4" s="15"/>
      <c r="I4" s="15" t="str">
        <f>B4</f>
        <v>Female</v>
      </c>
      <c r="J4" s="15" t="str">
        <f>C4</f>
        <v>Male</v>
      </c>
      <c r="K4" s="15" t="str">
        <f>D4</f>
        <v>Other</v>
      </c>
      <c r="L4" s="15" t="str">
        <f>E4</f>
        <v>Unknown</v>
      </c>
    </row>
    <row r="5" spans="1:12" ht="16.5" customHeight="1" thickTop="1" thickBot="1">
      <c r="A5" s="12" t="s">
        <v>18</v>
      </c>
      <c r="B5" s="14">
        <v>0.18961825201634841</v>
      </c>
      <c r="C5" s="14">
        <v>0.12262322351336576</v>
      </c>
      <c r="D5" s="14">
        <v>1.060537752469185E-2</v>
      </c>
      <c r="E5" s="14">
        <v>3.0599220547662797E-2</v>
      </c>
      <c r="F5" s="14">
        <v>0.35344607360206881</v>
      </c>
      <c r="H5" s="15" t="str">
        <f>A5</f>
        <v>App</v>
      </c>
      <c r="I5" s="16">
        <f t="shared" ref="I5:L9" si="0">B5</f>
        <v>0.18961825201634841</v>
      </c>
      <c r="J5" s="16">
        <f t="shared" si="0"/>
        <v>0.12262322351336576</v>
      </c>
      <c r="K5" s="16">
        <f t="shared" si="0"/>
        <v>1.060537752469185E-2</v>
      </c>
      <c r="L5" s="16">
        <f t="shared" si="0"/>
        <v>3.0599220547662797E-2</v>
      </c>
    </row>
    <row r="6" spans="1:12" ht="16" customHeight="1" thickTop="1" thickBot="1">
      <c r="A6" s="12" t="s">
        <v>51</v>
      </c>
      <c r="B6" s="14">
        <v>5.0283982091147303E-2</v>
      </c>
      <c r="C6" s="14">
        <v>4.3060781812819873E-2</v>
      </c>
      <c r="D6" s="14">
        <v>1.5320025675641944E-3</v>
      </c>
      <c r="E6" s="14">
        <v>1.7794988689097006E-2</v>
      </c>
      <c r="F6" s="14">
        <v>0.11267175516062837</v>
      </c>
      <c r="H6" s="15" t="str">
        <f>A6</f>
        <v>Instagram</v>
      </c>
      <c r="I6" s="16">
        <f t="shared" si="0"/>
        <v>5.0283982091147303E-2</v>
      </c>
      <c r="J6" s="16">
        <f t="shared" si="0"/>
        <v>4.3060781812819873E-2</v>
      </c>
      <c r="K6" s="16">
        <f t="shared" si="0"/>
        <v>1.5320025675641944E-3</v>
      </c>
      <c r="L6" s="16">
        <f t="shared" si="0"/>
        <v>1.7794988689097006E-2</v>
      </c>
    </row>
    <row r="7" spans="1:12" ht="18" customHeight="1" thickTop="1" thickBot="1">
      <c r="A7" s="12" t="s">
        <v>70</v>
      </c>
      <c r="B7" s="14">
        <v>6.3496059750411282E-2</v>
      </c>
      <c r="C7" s="14">
        <v>4.6071629863988765E-2</v>
      </c>
      <c r="D7" s="14">
        <v>2.306247051322625E-3</v>
      </c>
      <c r="E7" s="14">
        <v>3.8927934093844286E-3</v>
      </c>
      <c r="F7" s="14">
        <v>0.11576673007510711</v>
      </c>
      <c r="H7" s="15" t="str">
        <f>A7</f>
        <v>Partner App</v>
      </c>
      <c r="I7" s="16">
        <f t="shared" si="0"/>
        <v>6.3496059750411282E-2</v>
      </c>
      <c r="J7" s="16">
        <f t="shared" si="0"/>
        <v>4.6071629863988765E-2</v>
      </c>
      <c r="K7" s="16">
        <f t="shared" si="0"/>
        <v>2.306247051322625E-3</v>
      </c>
      <c r="L7" s="16">
        <f t="shared" si="0"/>
        <v>3.8927934093844286E-3</v>
      </c>
    </row>
    <row r="8" spans="1:12" ht="17.5" customHeight="1" thickTop="1" thickBot="1">
      <c r="A8" s="12" t="s">
        <v>40</v>
      </c>
      <c r="B8" s="14">
        <v>9.6337892927149532E-2</v>
      </c>
      <c r="C8" s="14">
        <v>6.7920115842382611E-2</v>
      </c>
      <c r="D8" s="14">
        <v>5.4979832664581261E-3</v>
      </c>
      <c r="E8" s="14">
        <v>1.2933041488102518E-2</v>
      </c>
      <c r="F8" s="14">
        <v>0.1826890335240928</v>
      </c>
      <c r="H8" s="15" t="str">
        <f>A8</f>
        <v>Target.com</v>
      </c>
      <c r="I8" s="16">
        <f t="shared" si="0"/>
        <v>9.6337892927149532E-2</v>
      </c>
      <c r="J8" s="16">
        <f t="shared" si="0"/>
        <v>6.7920115842382611E-2</v>
      </c>
      <c r="K8" s="16">
        <f t="shared" si="0"/>
        <v>5.4979832664581261E-3</v>
      </c>
      <c r="L8" s="16">
        <f t="shared" si="0"/>
        <v>1.2933041488102518E-2</v>
      </c>
    </row>
    <row r="9" spans="1:12" ht="17.5" customHeight="1" thickTop="1" thickBot="1">
      <c r="A9" s="12" t="s">
        <v>35</v>
      </c>
      <c r="B9" s="14">
        <v>0.12522098709469262</v>
      </c>
      <c r="C9" s="14">
        <v>9.1492740283116228E-2</v>
      </c>
      <c r="D9" s="14">
        <v>6.3042760790965081E-3</v>
      </c>
      <c r="E9" s="14">
        <v>1.2408404181197551E-2</v>
      </c>
      <c r="F9" s="14">
        <v>0.23542640763810288</v>
      </c>
      <c r="H9" s="15" t="str">
        <f>A9</f>
        <v>Website</v>
      </c>
      <c r="I9" s="16">
        <f t="shared" si="0"/>
        <v>0.12522098709469262</v>
      </c>
      <c r="J9" s="16">
        <f t="shared" si="0"/>
        <v>9.1492740283116228E-2</v>
      </c>
      <c r="K9" s="16">
        <f t="shared" si="0"/>
        <v>6.3042760790965081E-3</v>
      </c>
      <c r="L9" s="16">
        <f t="shared" si="0"/>
        <v>1.2408404181197551E-2</v>
      </c>
    </row>
    <row r="10" spans="1:12" ht="14.5" thickTop="1">
      <c r="A10" s="12" t="s">
        <v>2529</v>
      </c>
      <c r="B10" s="14">
        <v>0.52495717387974916</v>
      </c>
      <c r="C10" s="14">
        <v>0.3711684913156732</v>
      </c>
      <c r="D10" s="14">
        <v>2.6245886489133303E-2</v>
      </c>
      <c r="E10" s="14">
        <v>7.7628448315444312E-2</v>
      </c>
      <c r="F10" s="14">
        <v>1</v>
      </c>
    </row>
    <row r="34" spans="2:2">
      <c r="B34" t="s">
        <v>2536</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B1" workbookViewId="0">
      <selection activeCell="L1" sqref="L1"/>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B1" workbookViewId="0">
      <selection activeCell="H8" sqref="H8"/>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4:R67"/>
  <sheetViews>
    <sheetView topLeftCell="H1" workbookViewId="0">
      <selection activeCell="T7" sqref="T7"/>
    </sheetView>
  </sheetViews>
  <sheetFormatPr defaultRowHeight="14"/>
  <cols>
    <col min="1" max="1" width="3.33203125" customWidth="1"/>
    <col min="8" max="8" width="37.33203125" customWidth="1"/>
  </cols>
  <sheetData>
    <row r="4" spans="8:18">
      <c r="H4" s="6"/>
    </row>
    <row r="5" spans="8:18">
      <c r="H5" s="6"/>
    </row>
    <row r="9" spans="8:18">
      <c r="L9" t="s">
        <v>4</v>
      </c>
      <c r="P9" t="s">
        <v>2525</v>
      </c>
    </row>
    <row r="10" spans="8:18">
      <c r="L10" s="17" t="s">
        <v>19</v>
      </c>
      <c r="M10" t="s">
        <v>115</v>
      </c>
      <c r="N10" s="7">
        <v>31884.999999999996</v>
      </c>
      <c r="P10" s="17" t="s">
        <v>19</v>
      </c>
      <c r="Q10" t="s">
        <v>115</v>
      </c>
      <c r="R10" s="7">
        <v>579</v>
      </c>
    </row>
    <row r="11" spans="8:18">
      <c r="L11" s="17" t="s">
        <v>19</v>
      </c>
      <c r="M11" t="s">
        <v>20</v>
      </c>
      <c r="N11" s="7">
        <v>10.9</v>
      </c>
      <c r="P11" s="17" t="s">
        <v>19</v>
      </c>
      <c r="Q11" t="s">
        <v>20</v>
      </c>
      <c r="R11" s="7">
        <v>1</v>
      </c>
    </row>
    <row r="12" spans="8:18">
      <c r="L12" s="17" t="s">
        <v>19</v>
      </c>
      <c r="M12" t="s">
        <v>641</v>
      </c>
      <c r="N12" s="7">
        <v>800.3</v>
      </c>
      <c r="P12" s="17" t="s">
        <v>19</v>
      </c>
      <c r="Q12" t="s">
        <v>641</v>
      </c>
      <c r="R12" s="7">
        <v>9</v>
      </c>
    </row>
    <row r="13" spans="8:18">
      <c r="L13" s="17" t="s">
        <v>19</v>
      </c>
      <c r="M13" t="s">
        <v>967</v>
      </c>
      <c r="N13" s="7">
        <v>1062.5999999999999</v>
      </c>
      <c r="P13" s="17" t="s">
        <v>19</v>
      </c>
      <c r="Q13" t="s">
        <v>967</v>
      </c>
      <c r="R13" s="7">
        <v>35</v>
      </c>
    </row>
    <row r="14" spans="8:18">
      <c r="L14" s="17" t="s">
        <v>19</v>
      </c>
      <c r="M14" t="s">
        <v>84</v>
      </c>
      <c r="N14" s="7">
        <v>326.20000000000005</v>
      </c>
      <c r="P14" s="17" t="s">
        <v>19</v>
      </c>
      <c r="Q14" t="s">
        <v>84</v>
      </c>
      <c r="R14" s="7">
        <v>12</v>
      </c>
    </row>
    <row r="15" spans="8:18">
      <c r="L15" s="17" t="s">
        <v>19</v>
      </c>
      <c r="M15" t="s">
        <v>1383</v>
      </c>
      <c r="N15" s="7">
        <v>167.5</v>
      </c>
      <c r="P15" s="17" t="s">
        <v>19</v>
      </c>
      <c r="Q15" t="s">
        <v>1383</v>
      </c>
      <c r="R15" s="7">
        <v>4</v>
      </c>
    </row>
    <row r="16" spans="8:18">
      <c r="L16" s="17" t="s">
        <v>19</v>
      </c>
      <c r="M16" t="s">
        <v>24</v>
      </c>
      <c r="N16" s="7">
        <v>16168.7</v>
      </c>
      <c r="P16" s="17" t="s">
        <v>19</v>
      </c>
      <c r="Q16" t="s">
        <v>24</v>
      </c>
      <c r="R16" s="7">
        <v>341</v>
      </c>
    </row>
    <row r="17" spans="2:18">
      <c r="L17" s="17" t="s">
        <v>19</v>
      </c>
      <c r="M17" t="s">
        <v>2204</v>
      </c>
      <c r="N17" s="7">
        <v>322.40000000000003</v>
      </c>
      <c r="P17" s="17" t="s">
        <v>19</v>
      </c>
      <c r="Q17" t="s">
        <v>2204</v>
      </c>
      <c r="R17" s="7">
        <v>13</v>
      </c>
    </row>
    <row r="18" spans="2:18">
      <c r="L18" s="17" t="s">
        <v>19</v>
      </c>
      <c r="M18" t="s">
        <v>437</v>
      </c>
      <c r="N18" s="7">
        <v>2092.8000000000002</v>
      </c>
      <c r="P18" s="17" t="s">
        <v>19</v>
      </c>
      <c r="Q18" t="s">
        <v>437</v>
      </c>
      <c r="R18" s="7">
        <v>31</v>
      </c>
    </row>
    <row r="19" spans="2:18">
      <c r="L19" s="17" t="s">
        <v>19</v>
      </c>
      <c r="M19" t="s">
        <v>28</v>
      </c>
      <c r="N19" s="7">
        <v>12662.500000000002</v>
      </c>
      <c r="P19" s="17" t="s">
        <v>19</v>
      </c>
      <c r="Q19" t="s">
        <v>28</v>
      </c>
      <c r="R19" s="7">
        <v>279</v>
      </c>
    </row>
    <row r="20" spans="2:18">
      <c r="L20" s="17" t="s">
        <v>19</v>
      </c>
      <c r="M20" t="s">
        <v>208</v>
      </c>
      <c r="N20" s="7">
        <v>343.2</v>
      </c>
      <c r="P20" s="17" t="s">
        <v>19</v>
      </c>
      <c r="Q20" t="s">
        <v>208</v>
      </c>
      <c r="R20" s="7">
        <v>9</v>
      </c>
    </row>
    <row r="21" spans="2:18">
      <c r="L21" s="17" t="s">
        <v>19</v>
      </c>
      <c r="M21" t="s">
        <v>587</v>
      </c>
      <c r="N21" s="7">
        <v>2188.2999999999997</v>
      </c>
      <c r="P21" s="17" t="s">
        <v>19</v>
      </c>
      <c r="Q21" t="s">
        <v>587</v>
      </c>
      <c r="R21" s="7">
        <v>49</v>
      </c>
    </row>
    <row r="22" spans="2:18">
      <c r="L22" s="17" t="s">
        <v>19</v>
      </c>
      <c r="M22" t="s">
        <v>331</v>
      </c>
      <c r="N22" s="7">
        <v>2661.5999999999995</v>
      </c>
      <c r="P22" s="17" t="s">
        <v>19</v>
      </c>
      <c r="Q22" t="s">
        <v>331</v>
      </c>
      <c r="R22" s="7">
        <v>59</v>
      </c>
    </row>
    <row r="23" spans="2:18">
      <c r="L23" s="17" t="s">
        <v>19</v>
      </c>
      <c r="M23" t="s">
        <v>86</v>
      </c>
      <c r="N23" s="7">
        <v>887.5</v>
      </c>
      <c r="P23" s="17" t="s">
        <v>19</v>
      </c>
      <c r="Q23" t="s">
        <v>86</v>
      </c>
      <c r="R23" s="7">
        <v>8</v>
      </c>
    </row>
    <row r="24" spans="2:18">
      <c r="B24" s="5"/>
      <c r="L24" s="17" t="s">
        <v>19</v>
      </c>
      <c r="M24" t="s">
        <v>147</v>
      </c>
      <c r="N24" s="7">
        <v>11354.199999999993</v>
      </c>
      <c r="P24" s="17" t="s">
        <v>19</v>
      </c>
      <c r="Q24" t="s">
        <v>147</v>
      </c>
      <c r="R24" s="7">
        <v>222</v>
      </c>
    </row>
    <row r="25" spans="2:18">
      <c r="L25" s="17" t="s">
        <v>19</v>
      </c>
      <c r="M25" t="s">
        <v>334</v>
      </c>
      <c r="N25" s="7">
        <v>1558.4</v>
      </c>
      <c r="P25" s="17" t="s">
        <v>19</v>
      </c>
      <c r="Q25" t="s">
        <v>334</v>
      </c>
      <c r="R25" s="7">
        <v>36</v>
      </c>
    </row>
    <row r="26" spans="2:18">
      <c r="L26" s="17" t="s">
        <v>19</v>
      </c>
      <c r="M26" t="s">
        <v>949</v>
      </c>
      <c r="N26" s="7">
        <v>2223.9</v>
      </c>
      <c r="P26" s="17" t="s">
        <v>19</v>
      </c>
      <c r="Q26" t="s">
        <v>949</v>
      </c>
      <c r="R26" s="7">
        <v>30</v>
      </c>
    </row>
    <row r="27" spans="2:18">
      <c r="L27" s="17" t="s">
        <v>19</v>
      </c>
      <c r="M27" t="s">
        <v>1426</v>
      </c>
      <c r="N27" s="7">
        <v>26.2</v>
      </c>
      <c r="P27" s="17" t="s">
        <v>19</v>
      </c>
      <c r="Q27" t="s">
        <v>1426</v>
      </c>
      <c r="R27" s="7">
        <v>1</v>
      </c>
    </row>
    <row r="28" spans="2:18">
      <c r="L28" s="17" t="s">
        <v>19</v>
      </c>
      <c r="M28" t="s">
        <v>33</v>
      </c>
      <c r="N28" s="7">
        <v>215551.19999999981</v>
      </c>
      <c r="P28" s="17" t="s">
        <v>19</v>
      </c>
      <c r="Q28" t="s">
        <v>33</v>
      </c>
      <c r="R28" s="7">
        <v>3991</v>
      </c>
    </row>
    <row r="29" spans="2:18">
      <c r="L29" s="17" t="s">
        <v>19</v>
      </c>
      <c r="M29" t="s">
        <v>364</v>
      </c>
      <c r="N29" s="7">
        <v>2687.3999999999996</v>
      </c>
      <c r="P29" s="17" t="s">
        <v>19</v>
      </c>
      <c r="Q29" t="s">
        <v>364</v>
      </c>
      <c r="R29" s="7">
        <v>45</v>
      </c>
    </row>
    <row r="30" spans="2:18">
      <c r="L30" s="17" t="s">
        <v>19</v>
      </c>
      <c r="M30" t="s">
        <v>545</v>
      </c>
      <c r="N30" s="7">
        <v>1463.3000000000002</v>
      </c>
      <c r="P30" s="17" t="s">
        <v>19</v>
      </c>
      <c r="Q30" t="s">
        <v>545</v>
      </c>
      <c r="R30" s="7">
        <v>39</v>
      </c>
    </row>
    <row r="31" spans="2:18">
      <c r="L31" s="17" t="s">
        <v>19</v>
      </c>
      <c r="M31" t="s">
        <v>416</v>
      </c>
      <c r="N31" s="7">
        <v>445.79999999999995</v>
      </c>
      <c r="P31" s="17" t="s">
        <v>19</v>
      </c>
      <c r="Q31" t="s">
        <v>416</v>
      </c>
      <c r="R31" s="7">
        <v>6</v>
      </c>
    </row>
    <row r="32" spans="2:18">
      <c r="L32" s="17" t="s">
        <v>19</v>
      </c>
      <c r="M32" t="s">
        <v>258</v>
      </c>
      <c r="N32" s="7">
        <v>273.59999999999997</v>
      </c>
      <c r="P32" s="17" t="s">
        <v>19</v>
      </c>
      <c r="Q32" t="s">
        <v>258</v>
      </c>
      <c r="R32" s="7">
        <v>9</v>
      </c>
    </row>
    <row r="33" spans="12:18">
      <c r="L33" s="17" t="s">
        <v>19</v>
      </c>
      <c r="M33" t="s">
        <v>186</v>
      </c>
      <c r="N33" s="7">
        <v>2690.4</v>
      </c>
      <c r="P33" s="17" t="s">
        <v>19</v>
      </c>
      <c r="Q33" t="s">
        <v>186</v>
      </c>
      <c r="R33" s="7">
        <v>60</v>
      </c>
    </row>
    <row r="34" spans="12:18">
      <c r="L34" s="17" t="s">
        <v>19</v>
      </c>
      <c r="M34" t="s">
        <v>392</v>
      </c>
      <c r="N34" s="7">
        <v>28.4</v>
      </c>
      <c r="P34" s="17" t="s">
        <v>19</v>
      </c>
      <c r="Q34" t="s">
        <v>392</v>
      </c>
      <c r="R34" s="7">
        <v>2</v>
      </c>
    </row>
    <row r="35" spans="12:18">
      <c r="L35" s="17" t="s">
        <v>19</v>
      </c>
      <c r="M35" t="s">
        <v>670</v>
      </c>
      <c r="N35" s="7">
        <v>204.8</v>
      </c>
      <c r="P35" s="17" t="s">
        <v>19</v>
      </c>
      <c r="Q35" t="s">
        <v>670</v>
      </c>
      <c r="R35" s="7">
        <v>4</v>
      </c>
    </row>
    <row r="36" spans="12:18">
      <c r="L36" s="17" t="s">
        <v>19</v>
      </c>
      <c r="M36" t="s">
        <v>802</v>
      </c>
      <c r="N36" s="7">
        <v>1607.8999999999999</v>
      </c>
      <c r="P36" s="17" t="s">
        <v>19</v>
      </c>
      <c r="Q36" t="s">
        <v>802</v>
      </c>
      <c r="R36" s="7">
        <v>31</v>
      </c>
    </row>
    <row r="37" spans="12:18">
      <c r="L37" s="17" t="s">
        <v>19</v>
      </c>
      <c r="M37" t="s">
        <v>98</v>
      </c>
      <c r="N37" s="7">
        <v>6444.9</v>
      </c>
      <c r="P37" s="17" t="s">
        <v>19</v>
      </c>
      <c r="Q37" t="s">
        <v>98</v>
      </c>
      <c r="R37" s="7">
        <v>88</v>
      </c>
    </row>
    <row r="38" spans="12:18">
      <c r="L38" s="17" t="s">
        <v>19</v>
      </c>
      <c r="M38" t="s">
        <v>49</v>
      </c>
      <c r="N38" s="7">
        <v>1809.3</v>
      </c>
      <c r="P38" s="17" t="s">
        <v>19</v>
      </c>
      <c r="Q38" t="s">
        <v>49</v>
      </c>
      <c r="R38" s="7">
        <v>25</v>
      </c>
    </row>
    <row r="39" spans="12:18">
      <c r="L39" s="17" t="s">
        <v>19</v>
      </c>
      <c r="M39" t="s">
        <v>188</v>
      </c>
      <c r="N39" s="7">
        <v>9680.399999999996</v>
      </c>
      <c r="P39" s="17" t="s">
        <v>19</v>
      </c>
      <c r="Q39" t="s">
        <v>188</v>
      </c>
      <c r="R39" s="7">
        <v>178</v>
      </c>
    </row>
    <row r="40" spans="12:18">
      <c r="L40" s="17" t="s">
        <v>19</v>
      </c>
      <c r="M40" t="s">
        <v>52</v>
      </c>
      <c r="N40" s="7">
        <v>9414.7999999999993</v>
      </c>
      <c r="P40" s="17" t="s">
        <v>19</v>
      </c>
      <c r="Q40" t="s">
        <v>52</v>
      </c>
      <c r="R40" s="7">
        <v>141</v>
      </c>
    </row>
    <row r="41" spans="12:18">
      <c r="L41" s="17" t="s">
        <v>19</v>
      </c>
      <c r="M41" t="s">
        <v>338</v>
      </c>
      <c r="N41" s="7">
        <v>206.1</v>
      </c>
      <c r="P41" s="17" t="s">
        <v>19</v>
      </c>
      <c r="Q41" t="s">
        <v>338</v>
      </c>
      <c r="R41" s="7">
        <v>6</v>
      </c>
    </row>
    <row r="42" spans="12:18">
      <c r="L42" s="17" t="s">
        <v>19</v>
      </c>
      <c r="M42" t="s">
        <v>158</v>
      </c>
      <c r="N42" s="7">
        <v>7691.3</v>
      </c>
      <c r="P42" s="17" t="s">
        <v>19</v>
      </c>
      <c r="Q42" t="s">
        <v>158</v>
      </c>
      <c r="R42" s="7">
        <v>178</v>
      </c>
    </row>
    <row r="43" spans="12:18">
      <c r="L43" s="17" t="s">
        <v>19</v>
      </c>
      <c r="M43" t="s">
        <v>55</v>
      </c>
      <c r="N43" s="7">
        <v>37784.900000000016</v>
      </c>
      <c r="P43" s="17" t="s">
        <v>19</v>
      </c>
      <c r="Q43" t="s">
        <v>55</v>
      </c>
      <c r="R43" s="7">
        <v>699</v>
      </c>
    </row>
    <row r="44" spans="12:18">
      <c r="L44" s="17" t="s">
        <v>19</v>
      </c>
      <c r="M44" t="s">
        <v>342</v>
      </c>
      <c r="N44" s="7">
        <v>1129.7</v>
      </c>
      <c r="P44" s="17" t="s">
        <v>19</v>
      </c>
      <c r="Q44" t="s">
        <v>342</v>
      </c>
      <c r="R44" s="7">
        <v>23</v>
      </c>
    </row>
    <row r="45" spans="12:18">
      <c r="L45" s="17" t="s">
        <v>19</v>
      </c>
      <c r="M45" t="s">
        <v>59</v>
      </c>
      <c r="N45" s="7">
        <v>20988.9</v>
      </c>
      <c r="P45" s="17" t="s">
        <v>19</v>
      </c>
      <c r="Q45" t="s">
        <v>59</v>
      </c>
      <c r="R45" s="7">
        <v>356</v>
      </c>
    </row>
    <row r="46" spans="12:18">
      <c r="L46" s="17" t="s">
        <v>19</v>
      </c>
      <c r="M46" t="s">
        <v>62</v>
      </c>
      <c r="N46" s="7">
        <v>98367.099999999977</v>
      </c>
      <c r="P46" s="17" t="s">
        <v>19</v>
      </c>
      <c r="Q46" t="s">
        <v>62</v>
      </c>
      <c r="R46" s="7">
        <v>1768</v>
      </c>
    </row>
    <row r="47" spans="12:18">
      <c r="L47" s="17" t="s">
        <v>19</v>
      </c>
      <c r="M47" t="s">
        <v>103</v>
      </c>
      <c r="N47" s="7">
        <v>21911.9</v>
      </c>
      <c r="P47" s="17" t="s">
        <v>19</v>
      </c>
      <c r="Q47" t="s">
        <v>103</v>
      </c>
      <c r="R47" s="7">
        <v>307</v>
      </c>
    </row>
    <row r="48" spans="12:18">
      <c r="L48" s="17" t="s">
        <v>19</v>
      </c>
      <c r="M48" t="s">
        <v>201</v>
      </c>
      <c r="N48" s="7">
        <v>5441.2</v>
      </c>
      <c r="P48" s="17" t="s">
        <v>19</v>
      </c>
      <c r="Q48" t="s">
        <v>201</v>
      </c>
      <c r="R48" s="7">
        <v>117</v>
      </c>
    </row>
    <row r="49" spans="12:18">
      <c r="L49" s="17" t="s">
        <v>19</v>
      </c>
      <c r="M49" t="s">
        <v>429</v>
      </c>
      <c r="N49" s="7">
        <v>392.8</v>
      </c>
      <c r="P49" s="17" t="s">
        <v>19</v>
      </c>
      <c r="Q49" t="s">
        <v>429</v>
      </c>
      <c r="R49" s="7">
        <v>13</v>
      </c>
    </row>
    <row r="50" spans="12:18">
      <c r="L50" s="17" t="s">
        <v>19</v>
      </c>
      <c r="M50" t="s">
        <v>72</v>
      </c>
      <c r="N50" s="7">
        <v>16172.000000000005</v>
      </c>
      <c r="P50" s="17" t="s">
        <v>19</v>
      </c>
      <c r="Q50" t="s">
        <v>72</v>
      </c>
      <c r="R50" s="7">
        <v>364</v>
      </c>
    </row>
    <row r="51" spans="12:18">
      <c r="L51" s="17" t="s">
        <v>19</v>
      </c>
      <c r="M51" t="s">
        <v>74</v>
      </c>
      <c r="N51" s="7">
        <v>4334.9999999999991</v>
      </c>
      <c r="P51" s="17" t="s">
        <v>19</v>
      </c>
      <c r="Q51" t="s">
        <v>74</v>
      </c>
      <c r="R51" s="7">
        <v>95</v>
      </c>
    </row>
    <row r="52" spans="12:18">
      <c r="L52" s="17" t="s">
        <v>19</v>
      </c>
      <c r="M52" t="s">
        <v>77</v>
      </c>
      <c r="N52" s="7">
        <v>37449.000000000007</v>
      </c>
      <c r="P52" s="17" t="s">
        <v>19</v>
      </c>
      <c r="Q52" t="s">
        <v>77</v>
      </c>
      <c r="R52" s="7">
        <v>737</v>
      </c>
    </row>
    <row r="53" spans="12:18">
      <c r="L53" s="17" t="s">
        <v>19</v>
      </c>
      <c r="M53" t="s">
        <v>309</v>
      </c>
      <c r="N53" s="7">
        <v>2447.5</v>
      </c>
      <c r="P53" s="17" t="s">
        <v>19</v>
      </c>
      <c r="Q53" t="s">
        <v>309</v>
      </c>
      <c r="R53" s="7">
        <v>39</v>
      </c>
    </row>
    <row r="54" spans="12:18">
      <c r="L54" s="17" t="s">
        <v>19</v>
      </c>
      <c r="M54" t="s">
        <v>1116</v>
      </c>
      <c r="N54" s="7">
        <v>3391.1</v>
      </c>
      <c r="P54" s="17" t="s">
        <v>19</v>
      </c>
      <c r="Q54" t="s">
        <v>1116</v>
      </c>
      <c r="R54" s="7">
        <v>56</v>
      </c>
    </row>
    <row r="55" spans="12:18">
      <c r="L55" s="17" t="s">
        <v>19</v>
      </c>
      <c r="M55" t="s">
        <v>700</v>
      </c>
      <c r="N55" s="7">
        <v>30.8</v>
      </c>
      <c r="P55" s="17" t="s">
        <v>19</v>
      </c>
      <c r="Q55" t="s">
        <v>700</v>
      </c>
      <c r="R55" s="7">
        <v>2</v>
      </c>
    </row>
    <row r="56" spans="12:18">
      <c r="L56" s="17" t="s">
        <v>19</v>
      </c>
      <c r="M56" t="s">
        <v>268</v>
      </c>
      <c r="N56" s="7">
        <v>332.3</v>
      </c>
      <c r="P56" s="17" t="s">
        <v>19</v>
      </c>
      <c r="Q56" t="s">
        <v>268</v>
      </c>
      <c r="R56" s="7">
        <v>8</v>
      </c>
    </row>
    <row r="57" spans="12:18">
      <c r="L57" s="17" t="s">
        <v>19</v>
      </c>
      <c r="M57" t="s">
        <v>377</v>
      </c>
      <c r="N57" s="7">
        <v>3175.9999999999995</v>
      </c>
      <c r="P57" s="17" t="s">
        <v>19</v>
      </c>
      <c r="Q57" t="s">
        <v>377</v>
      </c>
      <c r="R57" s="7">
        <v>52</v>
      </c>
    </row>
    <row r="58" spans="12:18">
      <c r="L58" s="17" t="s">
        <v>19</v>
      </c>
      <c r="M58" t="s">
        <v>108</v>
      </c>
      <c r="N58" s="7">
        <v>20939.600000000002</v>
      </c>
      <c r="P58" s="17" t="s">
        <v>19</v>
      </c>
      <c r="Q58" t="s">
        <v>108</v>
      </c>
      <c r="R58" s="7">
        <v>295</v>
      </c>
    </row>
    <row r="59" spans="12:18">
      <c r="L59" s="17" t="s">
        <v>19</v>
      </c>
      <c r="M59" t="s">
        <v>110</v>
      </c>
      <c r="N59" s="7">
        <v>10185.899999999996</v>
      </c>
      <c r="P59" s="17" t="s">
        <v>19</v>
      </c>
      <c r="Q59" t="s">
        <v>110</v>
      </c>
      <c r="R59" s="7">
        <v>195</v>
      </c>
    </row>
    <row r="60" spans="12:18">
      <c r="L60" s="17" t="s">
        <v>19</v>
      </c>
      <c r="M60" t="s">
        <v>292</v>
      </c>
      <c r="N60" s="7">
        <v>958.7</v>
      </c>
      <c r="P60" s="17" t="s">
        <v>19</v>
      </c>
      <c r="Q60" t="s">
        <v>292</v>
      </c>
      <c r="R60" s="7">
        <v>20</v>
      </c>
    </row>
    <row r="61" spans="12:18">
      <c r="L61" s="17" t="s">
        <v>19</v>
      </c>
      <c r="M61" t="s">
        <v>79</v>
      </c>
      <c r="N61" s="7">
        <v>323</v>
      </c>
      <c r="P61" s="17" t="s">
        <v>19</v>
      </c>
      <c r="Q61" t="s">
        <v>79</v>
      </c>
      <c r="R61" s="7">
        <v>6</v>
      </c>
    </row>
    <row r="62" spans="12:18">
      <c r="L62" s="17" t="s">
        <v>19</v>
      </c>
      <c r="M62" t="s">
        <v>608</v>
      </c>
      <c r="N62" s="7">
        <v>167.70000000000002</v>
      </c>
      <c r="P62" s="17" t="s">
        <v>19</v>
      </c>
      <c r="Q62" t="s">
        <v>608</v>
      </c>
      <c r="R62" s="7">
        <v>5</v>
      </c>
    </row>
    <row r="63" spans="12:18">
      <c r="L63" s="17" t="s">
        <v>19</v>
      </c>
      <c r="M63" t="s">
        <v>113</v>
      </c>
      <c r="N63" s="7">
        <v>3978.5</v>
      </c>
      <c r="P63" s="17" t="s">
        <v>19</v>
      </c>
      <c r="Q63" t="s">
        <v>113</v>
      </c>
      <c r="R63" s="7">
        <v>94</v>
      </c>
    </row>
    <row r="64" spans="12:18">
      <c r="L64" s="17" t="s">
        <v>19</v>
      </c>
      <c r="M64" t="s">
        <v>997</v>
      </c>
      <c r="N64" s="7">
        <v>1405</v>
      </c>
      <c r="P64" s="17" t="s">
        <v>19</v>
      </c>
      <c r="Q64" t="s">
        <v>997</v>
      </c>
      <c r="R64" s="7">
        <v>28</v>
      </c>
    </row>
    <row r="65" spans="12:18">
      <c r="L65" s="17" t="s">
        <v>19</v>
      </c>
      <c r="M65" t="s">
        <v>82</v>
      </c>
      <c r="N65" s="7">
        <v>9869.0999999999985</v>
      </c>
      <c r="P65" s="17" t="s">
        <v>19</v>
      </c>
      <c r="Q65" t="s">
        <v>82</v>
      </c>
      <c r="R65" s="7">
        <v>179</v>
      </c>
    </row>
    <row r="66" spans="12:18">
      <c r="L66" s="17" t="s">
        <v>19</v>
      </c>
      <c r="M66" t="s">
        <v>243</v>
      </c>
      <c r="N66" s="7">
        <v>615.29999999999995</v>
      </c>
      <c r="P66" s="17" t="s">
        <v>19</v>
      </c>
      <c r="Q66" t="s">
        <v>243</v>
      </c>
      <c r="R66" s="7">
        <v>15</v>
      </c>
    </row>
    <row r="67" spans="12:18">
      <c r="L67" s="18" t="s">
        <v>19</v>
      </c>
      <c r="M67" t="s">
        <v>1911</v>
      </c>
      <c r="N67" s="7">
        <v>285</v>
      </c>
      <c r="P67" s="18" t="s">
        <v>19</v>
      </c>
      <c r="Q67" t="s">
        <v>1911</v>
      </c>
      <c r="R67" s="7">
        <v>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vt:lpstr>
      <vt:lpstr>Matrix_pivot table</vt:lpstr>
      <vt:lpstr>Data</vt:lpstr>
      <vt:lpstr>Questions &amp; KPIs</vt:lpstr>
      <vt:lpstr>Amt and Qty for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Komalika Das</dc:creator>
  <cp:lastModifiedBy>Komalika Das</cp:lastModifiedBy>
  <dcterms:created xsi:type="dcterms:W3CDTF">2025-06-13T02:42:26Z</dcterms:created>
  <dcterms:modified xsi:type="dcterms:W3CDTF">2026-03-14T04:52:37Z</dcterms:modified>
</cp:coreProperties>
</file>